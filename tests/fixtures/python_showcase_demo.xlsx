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Sales_Analytics" sheetId="2" state="visible" r:id="rId2"/>
    <sheet xmlns:r="http://schemas.openxmlformats.org/officeDocument/2006/relationships" name="Statistics_ML" sheetId="3" state="visible" r:id="rId3"/>
    <sheet xmlns:r="http://schemas.openxmlformats.org/officeDocument/2006/relationships" name="Forecasting" sheetId="4" state="visible" r:id="rId4"/>
    <sheet xmlns:r="http://schemas.openxmlformats.org/officeDocument/2006/relationships" name="Optimization" sheetId="5" state="visible" r:id="rId5"/>
    <sheet xmlns:r="http://schemas.openxmlformats.org/officeDocument/2006/relationships" name="Engineering_Math" sheetId="6" state="visible" r:id="rId6"/>
    <sheet xmlns:r="http://schemas.openxmlformats.org/officeDocument/2006/relationships" name="Viz_Galle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color rgb="0094A3B8"/>
      <sz val="10"/>
    </font>
    <font>
      <name val="Segoe UI"/>
      <b val="1"/>
      <color rgb="00FFFFFF"/>
      <sz val="11"/>
    </font>
    <font>
      <name val="Segoe UI"/>
      <b val="1"/>
      <color rgb="0064748B"/>
      <sz val="9"/>
    </font>
    <font>
      <name val="Segoe UI"/>
      <b val="1"/>
      <color rgb="000284C7"/>
      <sz val="16"/>
    </font>
    <font>
      <name val="Segoe UI"/>
      <b val="1"/>
      <color rgb="00FFFFFF"/>
      <sz val="10"/>
    </font>
    <font>
      <name val="Segoe UI"/>
      <color rgb="000F172A"/>
      <sz val="9.5"/>
    </font>
    <font>
      <name val="Segoe UI"/>
      <b val="1"/>
      <color rgb="00FFFFFF"/>
      <sz val="9.5"/>
    </font>
    <font>
      <name val="Segoe UI"/>
      <b val="1"/>
      <color rgb="00166534"/>
      <sz val="11"/>
    </font>
    <font>
      <name val="Segoe UI"/>
      <b val="1"/>
      <color rgb="00475569"/>
      <sz val="10"/>
    </font>
  </fonts>
  <fills count="9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334155"/>
        <bgColor rgb="00334155"/>
      </patternFill>
    </fill>
    <fill>
      <patternFill patternType="solid">
        <fgColor rgb="00EEF2FF"/>
        <bgColor rgb="00EEF2FF"/>
      </patternFill>
    </fill>
    <fill>
      <patternFill patternType="solid">
        <fgColor rgb="001E293B"/>
        <bgColor rgb="001E293B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0FDF4"/>
        <bgColor rgb="00F0FDF4"/>
      </patternFill>
    </fill>
  </fills>
  <borders count="4">
    <border>
      <left/>
      <right/>
      <top/>
      <bottom/>
      <diagonal/>
    </border>
    <border>
      <left style="medium">
        <color rgb="00C7D2FE"/>
      </left>
      <right style="medium">
        <color rgb="00C7D2FE"/>
      </right>
      <top style="medium">
        <color rgb="00C7D2FE"/>
      </top>
      <bottom style="medium">
        <color rgb="00C7D2FE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medium">
        <color rgb="0094A3B8"/>
      </left>
      <right style="medium">
        <color rgb="0094A3B8"/>
      </right>
      <top style="medium">
        <color rgb="0094A3B8"/>
      </top>
      <bottom style="medium">
        <color rgb="0094A3B8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2" borderId="0" applyAlignment="1" pivotButton="0" quotePrefix="0" xfId="0">
      <alignment vertical="center" indent="1"/>
    </xf>
    <xf numFmtId="0" fontId="3" fillId="3" borderId="0" applyAlignment="1" pivotButton="0" quotePrefix="0" xfId="0">
      <alignment vertical="center" indent="1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6" borderId="2" applyAlignment="1" pivotButton="0" quotePrefix="0" xfId="0">
      <alignment vertical="center" indent="1"/>
    </xf>
    <xf numFmtId="0" fontId="7" fillId="7" borderId="2" applyAlignment="1" pivotButton="0" quotePrefix="0" xfId="0">
      <alignment vertical="center" indent="1"/>
    </xf>
    <xf numFmtId="0" fontId="6" fillId="5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left" vertical="center"/>
    </xf>
    <xf numFmtId="0" fontId="7" fillId="7" borderId="2" applyAlignment="1" pivotButton="0" quotePrefix="0" xfId="0">
      <alignment horizontal="left" vertical="center"/>
    </xf>
    <xf numFmtId="0" fontId="8" fillId="5" borderId="2" applyAlignment="1" pivotButton="0" quotePrefix="0" xfId="0">
      <alignment vertical="center" indent="1"/>
    </xf>
    <xf numFmtId="0" fontId="9" fillId="8" borderId="2" applyAlignment="1" pivotButton="0" quotePrefix="0" xfId="0">
      <alignment horizontal="right" vertical="center"/>
    </xf>
    <xf numFmtId="0" fontId="7" fillId="7" borderId="2" applyAlignment="1" pivotButton="0" quotePrefix="0" xfId="0">
      <alignment vertical="top" wrapText="1"/>
    </xf>
    <xf numFmtId="0" fontId="10" fillId="7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36" customHeight="1">
      <c r="A1" s="1" t="inlineStr">
        <is>
          <t>🌟 LibrePy / WriterAgent — Python in LibreOffice Calc Showcase</t>
        </is>
      </c>
    </row>
    <row r="2" ht="24" customHeight="1">
      <c r="A2" s="2" t="inlineStr">
        <is>
          <t>Enterprise Data Science, Machine Learning, and Scientific Computing natively inside your spreadsheet with =PY()</t>
        </is>
      </c>
    </row>
    <row r="3"/>
    <row r="4" ht="24" customHeight="1">
      <c r="A4" s="3" t="inlineStr">
        <is>
          <t>KEY PERFORMANCE INDICATORS (CALCULATED VIA PYTHON =PY)</t>
        </is>
      </c>
    </row>
    <row r="5" ht="20" customHeight="1">
      <c r="A5" s="4" t="inlineStr">
        <is>
          <t>TOTAL REVENUE (YTD)</t>
        </is>
      </c>
      <c r="C5" s="4" t="inlineStr">
        <is>
          <t>AVG PROFIT MARGIN</t>
        </is>
      </c>
      <c r="E5" s="4" t="inlineStr">
        <is>
          <t>ANOMALIES FLAGGED</t>
        </is>
      </c>
      <c r="G5" s="4" t="inlineStr">
        <is>
          <t>FORECAST TARGET (Q3)</t>
        </is>
      </c>
    </row>
    <row r="6" ht="32" customHeight="1">
      <c r="A6" s="5">
        <f>ORG.EXTENSION.WRITERAGENT.PYTHONFUNCTION.PY("f'${sum(r[7] for r in data[1:]):,.2f}'", Sales_Analytics!A4:I39)</f>
        <v/>
      </c>
      <c r="C6" s="5">
        <f>ORG.EXTENSION.WRITERAGENT.PYTHONFUNCTION.PY("f'{sum(r[7] * (0.28 if r[3]=='Electronics' else 0.30 if r[3]=='Furniture' else 0.22) for r in data[1:]) / sum(r[7] for r in data[1:]):.1%}'", Sales_Analytics!A4:I39)</f>
        <v/>
      </c>
      <c r="E6" s="5">
        <f>ORG.EXTENSION.WRITERAGENT.PYTHONFUNCTION.PY("f'{sum(1 for r in data[1:] if r[7] &gt; 8000)} Detected'", Sales_Analytics!A4:I39)</f>
        <v/>
      </c>
      <c r="G6" s="5">
        <f>ORG.EXTENSION.WRITERAGENT.PYTHONFUNCTION.PY("f'${data[-1][4] * 1.15:,.2f}'", Forecasting!A4:E40)</f>
        <v/>
      </c>
    </row>
    <row r="7"/>
    <row r="8" ht="24" customHeight="1">
      <c r="A8" s="3" t="inlineStr">
        <is>
          <t>CAPABILITY MATRIX: TRADITIONAL FORMULAS VS. LIBREPY =PY()</t>
        </is>
      </c>
    </row>
    <row r="9" ht="22" customHeight="1">
      <c r="A9" s="6" t="inlineStr">
        <is>
          <t>Capability Domain</t>
        </is>
      </c>
      <c r="C9" s="6" t="inlineStr">
        <is>
          <t>Traditional Calc Formula</t>
        </is>
      </c>
      <c r="E9" s="6" t="inlineStr">
        <is>
          <t>LibrePy =PY() Solution</t>
        </is>
      </c>
      <c r="G9" s="6" t="inlineStr">
        <is>
          <t>Scientific Engine</t>
        </is>
      </c>
    </row>
    <row r="10" ht="22" customHeight="1">
      <c r="A10" s="7" t="inlineStr">
        <is>
          <t>Multi-level Groupby &amp; Pivot</t>
        </is>
      </c>
      <c r="C10" s="7" t="inlineStr">
        <is>
          <t>SUMIFS() / Complex pivot</t>
        </is>
      </c>
      <c r="E10" s="7" t="inlineStr">
        <is>
          <t>PY('data.groupby(["Region","Cat"])["Rev"].sum()')</t>
        </is>
      </c>
      <c r="G10" s="7" t="inlineStr">
        <is>
          <t>Pandas DataFrame</t>
        </is>
      </c>
    </row>
    <row r="11" ht="22" customHeight="1">
      <c r="A11" s="8" t="inlineStr">
        <is>
          <t>Outlier &amp; Anomaly Detection</t>
        </is>
      </c>
      <c r="C11" s="8" t="inlineStr">
        <is>
          <t>Nested IF(OR(ZSCORE &gt; 3))</t>
        </is>
      </c>
      <c r="E11" s="8" t="inlineStr">
        <is>
          <t>PY('detect_outliers(data, method="isolation_forest")')</t>
        </is>
      </c>
      <c r="G11" s="8" t="inlineStr">
        <is>
          <t>Scikit-Learn / SciPy</t>
        </is>
      </c>
    </row>
    <row r="12" ht="22" customHeight="1">
      <c r="A12" s="7" t="inlineStr">
        <is>
          <t>Statistical Regression (OLS)</t>
        </is>
      </c>
      <c r="C12" s="7" t="inlineStr">
        <is>
          <t>LINEST() array formula</t>
        </is>
      </c>
      <c r="E12" s="7" t="inlineStr">
        <is>
          <t>PY('st.linregress(x, y).slope')</t>
        </is>
      </c>
      <c r="G12" s="7" t="inlineStr">
        <is>
          <t>SciPy Stats / Statsmodels</t>
        </is>
      </c>
    </row>
    <row r="13" ht="22" customHeight="1">
      <c r="A13" s="8" t="inlineStr">
        <is>
          <t>Seasonal Time Series</t>
        </is>
      </c>
      <c r="C13" s="8" t="inlineStr">
        <is>
          <t>Manual moving average</t>
        </is>
      </c>
      <c r="E13" s="8" t="inlineStr">
        <is>
          <t>PY('forecast_time_series(data, periods=6)')</t>
        </is>
      </c>
      <c r="G13" s="8" t="inlineStr">
        <is>
          <t>Statsmodels / Prophet</t>
        </is>
      </c>
    </row>
    <row r="14" ht="22" customHeight="1">
      <c r="A14" s="7" t="inlineStr">
        <is>
          <t>Portfolio Sharpe Optimization</t>
        </is>
      </c>
      <c r="C14" s="7" t="inlineStr">
        <is>
          <t>Calc Solver dialog manually</t>
        </is>
      </c>
      <c r="E14" s="7" t="inlineStr">
        <is>
          <t>PY('scipy.optimize.minimize(neg_sharpe, weights)')</t>
        </is>
      </c>
      <c r="G14" s="7" t="inlineStr">
        <is>
          <t>SciPy Optimize</t>
        </is>
      </c>
    </row>
    <row r="15" ht="22" customHeight="1">
      <c r="A15" s="8" t="inlineStr">
        <is>
          <t>Physical Unit Conversions</t>
        </is>
      </c>
      <c r="C15" s="8" t="inlineStr">
        <is>
          <t>Manual conversion factor lookup</t>
        </is>
      </c>
      <c r="E15" s="8" t="inlineStr">
        <is>
          <t>PY('pint.UnitRegistry().Quantity(v, src).to(dst)')</t>
        </is>
      </c>
      <c r="G15" s="8" t="inlineStr">
        <is>
          <t>Pint Library</t>
        </is>
      </c>
    </row>
    <row r="16" ht="22" customHeight="1">
      <c r="A16" s="7" t="inlineStr">
        <is>
          <t>Symbolic Mathematics</t>
        </is>
      </c>
      <c r="C16" s="7" t="inlineStr">
        <is>
          <t>Not supported natively</t>
        </is>
      </c>
      <c r="E16" s="7" t="inlineStr">
        <is>
          <t>PY('sp.diff(x**3 * sp.sin(x), x)')</t>
        </is>
      </c>
      <c r="G16" s="7" t="inlineStr">
        <is>
          <t>SymPy CAS</t>
        </is>
      </c>
    </row>
  </sheetData>
  <mergeCells count="44">
    <mergeCell ref="E12:F12"/>
    <mergeCell ref="G12:H12"/>
    <mergeCell ref="C6:D6"/>
    <mergeCell ref="A15:B15"/>
    <mergeCell ref="C15:D15"/>
    <mergeCell ref="A11:B11"/>
    <mergeCell ref="G11:H11"/>
    <mergeCell ref="C5:D5"/>
    <mergeCell ref="E5:F5"/>
    <mergeCell ref="C14:D14"/>
    <mergeCell ref="E14:F14"/>
    <mergeCell ref="A1:H1"/>
    <mergeCell ref="A6:B6"/>
    <mergeCell ref="A16:B16"/>
    <mergeCell ref="C10:D10"/>
    <mergeCell ref="C16:D16"/>
    <mergeCell ref="E10:F10"/>
    <mergeCell ref="G10:H10"/>
    <mergeCell ref="E13:F13"/>
    <mergeCell ref="G6:H6"/>
    <mergeCell ref="C9:D9"/>
    <mergeCell ref="G13:H13"/>
    <mergeCell ref="E9:F9"/>
    <mergeCell ref="A12:B12"/>
    <mergeCell ref="C12:D12"/>
    <mergeCell ref="E6:F6"/>
    <mergeCell ref="E15:F15"/>
    <mergeCell ref="C11:D11"/>
    <mergeCell ref="A2:H2"/>
    <mergeCell ref="G15:H15"/>
    <mergeCell ref="E11:F11"/>
    <mergeCell ref="A5:B5"/>
    <mergeCell ref="G5:H5"/>
    <mergeCell ref="A14:B14"/>
    <mergeCell ref="G14:H14"/>
    <mergeCell ref="A8:H8"/>
    <mergeCell ref="A4:H4"/>
    <mergeCell ref="E16:F16"/>
    <mergeCell ref="G16:H16"/>
    <mergeCell ref="A10:B10"/>
    <mergeCell ref="A13:B13"/>
    <mergeCell ref="C13:D13"/>
    <mergeCell ref="A9:B9"/>
    <mergeCell ref="G9:H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5" customWidth="1" min="4" max="4"/>
    <col width="17" customWidth="1" min="5" max="5"/>
    <col width="12" customWidth="1" min="6" max="6"/>
    <col width="14" customWidth="1" min="7" max="7"/>
    <col width="12" customWidth="1" min="8" max="8"/>
    <col width="13" customWidth="1" min="9" max="9"/>
  </cols>
  <sheetData>
    <row r="1" ht="32" customHeight="1">
      <c r="A1" s="1" t="inlineStr">
        <is>
          <t>📊 Sales_Analytics — Pandas Data Wrangling &amp; Multi-level Aggregation</t>
        </is>
      </c>
    </row>
    <row r="2"/>
    <row r="3" ht="22" customHeight="1">
      <c r="A3" s="3" t="inlineStr">
        <is>
          <t>TRANSACTIONAL SALES DATASET (35 ORDERS)</t>
        </is>
      </c>
    </row>
    <row r="4" ht="20" customHeight="1">
      <c r="A4" s="9" t="inlineStr">
        <is>
          <t>Order_ID</t>
        </is>
      </c>
      <c r="B4" s="9" t="inlineStr">
        <is>
          <t>Date</t>
        </is>
      </c>
      <c r="C4" s="9" t="inlineStr">
        <is>
          <t>Region</t>
        </is>
      </c>
      <c r="D4" s="9" t="inlineStr">
        <is>
          <t>Category</t>
        </is>
      </c>
      <c r="E4" s="9" t="inlineStr">
        <is>
          <t>Customer_Type</t>
        </is>
      </c>
      <c r="F4" s="9" t="inlineStr">
        <is>
          <t>Units</t>
        </is>
      </c>
      <c r="G4" s="9" t="inlineStr">
        <is>
          <t>Unit_Price</t>
        </is>
      </c>
      <c r="H4" s="9" t="inlineStr">
        <is>
          <t>Revenue</t>
        </is>
      </c>
      <c r="I4" s="9" t="inlineStr">
        <is>
          <t>SKU_Code</t>
        </is>
      </c>
    </row>
    <row r="5" ht="20" customHeight="1">
      <c r="A5" s="10" t="inlineStr">
        <is>
          <t>ORD-1001</t>
        </is>
      </c>
      <c r="B5" s="10" t="inlineStr">
        <is>
          <t>2024-01-05</t>
        </is>
      </c>
      <c r="C5" s="10" t="inlineStr">
        <is>
          <t>North</t>
        </is>
      </c>
      <c r="D5" s="10" t="inlineStr">
        <is>
          <t>Electronics</t>
        </is>
      </c>
      <c r="E5" s="10" t="inlineStr">
        <is>
          <t>Enterprise</t>
        </is>
      </c>
      <c r="F5" s="10" t="n">
        <v>15</v>
      </c>
      <c r="G5" s="10" t="n">
        <v>240</v>
      </c>
      <c r="H5" s="10" t="n">
        <v>3600</v>
      </c>
      <c r="I5" s="10" t="inlineStr">
        <is>
          <t>ELEC-9021</t>
        </is>
      </c>
    </row>
    <row r="6" ht="20" customHeight="1">
      <c r="A6" s="11" t="inlineStr">
        <is>
          <t>ORD-1002</t>
        </is>
      </c>
      <c r="B6" s="11" t="inlineStr">
        <is>
          <t>2024-01-07</t>
        </is>
      </c>
      <c r="C6" s="11" t="inlineStr">
        <is>
          <t>South</t>
        </is>
      </c>
      <c r="D6" s="11" t="inlineStr">
        <is>
          <t>Furniture</t>
        </is>
      </c>
      <c r="E6" s="11" t="inlineStr">
        <is>
          <t>SMB</t>
        </is>
      </c>
      <c r="F6" s="11" t="n">
        <v>4</v>
      </c>
      <c r="G6" s="11" t="n">
        <v>450</v>
      </c>
      <c r="H6" s="11" t="n">
        <v>1800</v>
      </c>
      <c r="I6" s="11" t="inlineStr">
        <is>
          <t>FURN-3310</t>
        </is>
      </c>
    </row>
    <row r="7" ht="20" customHeight="1">
      <c r="A7" s="10" t="inlineStr">
        <is>
          <t>ORD-1003</t>
        </is>
      </c>
      <c r="B7" s="10" t="inlineStr">
        <is>
          <t>2024-01-10</t>
        </is>
      </c>
      <c r="C7" s="10" t="inlineStr">
        <is>
          <t>East</t>
        </is>
      </c>
      <c r="D7" s="10" t="inlineStr">
        <is>
          <t>Supplies</t>
        </is>
      </c>
      <c r="E7" s="10" t="inlineStr">
        <is>
          <t>Consumer</t>
        </is>
      </c>
      <c r="F7" s="10" t="n">
        <v>40</v>
      </c>
      <c r="G7" s="10" t="n">
        <v>18.5</v>
      </c>
      <c r="H7" s="10" t="n">
        <v>740</v>
      </c>
      <c r="I7" s="10" t="inlineStr">
        <is>
          <t>SUPP-1044</t>
        </is>
      </c>
    </row>
    <row r="8" ht="20" customHeight="1">
      <c r="A8" s="11" t="inlineStr">
        <is>
          <t>ORD-1004</t>
        </is>
      </c>
      <c r="B8" s="11" t="inlineStr">
        <is>
          <t>2024-01-14</t>
        </is>
      </c>
      <c r="C8" s="11" t="inlineStr">
        <is>
          <t>West</t>
        </is>
      </c>
      <c r="D8" s="11" t="inlineStr">
        <is>
          <t>Electronics</t>
        </is>
      </c>
      <c r="E8" s="11" t="inlineStr">
        <is>
          <t>Enterprise</t>
        </is>
      </c>
      <c r="F8" s="11" t="n">
        <v>22</v>
      </c>
      <c r="G8" s="11" t="n">
        <v>290</v>
      </c>
      <c r="H8" s="11" t="n">
        <v>6380</v>
      </c>
      <c r="I8" s="11" t="inlineStr">
        <is>
          <t>ELEC-9042</t>
        </is>
      </c>
    </row>
    <row r="9" ht="20" customHeight="1">
      <c r="A9" s="10" t="inlineStr">
        <is>
          <t>ORD-1005</t>
        </is>
      </c>
      <c r="B9" s="10" t="inlineStr">
        <is>
          <t>2024-01-18</t>
        </is>
      </c>
      <c r="C9" s="10" t="inlineStr">
        <is>
          <t>North</t>
        </is>
      </c>
      <c r="D9" s="10" t="inlineStr">
        <is>
          <t>Furniture</t>
        </is>
      </c>
      <c r="E9" s="10" t="inlineStr">
        <is>
          <t>SMB</t>
        </is>
      </c>
      <c r="F9" s="10" t="n">
        <v>8</v>
      </c>
      <c r="G9" s="10" t="n">
        <v>380</v>
      </c>
      <c r="H9" s="10" t="n">
        <v>3040</v>
      </c>
      <c r="I9" s="10" t="inlineStr">
        <is>
          <t>FURN-3355</t>
        </is>
      </c>
    </row>
    <row r="10" ht="20" customHeight="1">
      <c r="A10" s="11" t="inlineStr">
        <is>
          <t>ORD-1006</t>
        </is>
      </c>
      <c r="B10" s="11" t="inlineStr">
        <is>
          <t>2024-01-22</t>
        </is>
      </c>
      <c r="C10" s="11" t="inlineStr">
        <is>
          <t>East</t>
        </is>
      </c>
      <c r="D10" s="11" t="inlineStr">
        <is>
          <t>Electronics</t>
        </is>
      </c>
      <c r="E10" s="11" t="inlineStr">
        <is>
          <t>Consumer</t>
        </is>
      </c>
      <c r="F10" s="11" t="n">
        <v>5</v>
      </c>
      <c r="G10" s="11" t="n">
        <v>210</v>
      </c>
      <c r="H10" s="11" t="n">
        <v>1050</v>
      </c>
      <c r="I10" s="11" t="inlineStr">
        <is>
          <t>ELEC-8812</t>
        </is>
      </c>
    </row>
    <row r="11" ht="20" customHeight="1">
      <c r="A11" s="10" t="inlineStr">
        <is>
          <t>ORD-1007</t>
        </is>
      </c>
      <c r="B11" s="10" t="inlineStr">
        <is>
          <t>2024-01-25</t>
        </is>
      </c>
      <c r="C11" s="10" t="inlineStr">
        <is>
          <t>South</t>
        </is>
      </c>
      <c r="D11" s="10" t="inlineStr">
        <is>
          <t>Supplies</t>
        </is>
      </c>
      <c r="E11" s="10" t="inlineStr">
        <is>
          <t>Enterprise</t>
        </is>
      </c>
      <c r="F11" s="10" t="n">
        <v>85</v>
      </c>
      <c r="G11" s="10" t="n">
        <v>14</v>
      </c>
      <c r="H11" s="10" t="n">
        <v>1190</v>
      </c>
      <c r="I11" s="10" t="inlineStr">
        <is>
          <t>SUPP-1089</t>
        </is>
      </c>
    </row>
    <row r="12" ht="20" customHeight="1">
      <c r="A12" s="11" t="inlineStr">
        <is>
          <t>ORD-1008</t>
        </is>
      </c>
      <c r="B12" s="11" t="inlineStr">
        <is>
          <t>2024-01-28</t>
        </is>
      </c>
      <c r="C12" s="11" t="inlineStr">
        <is>
          <t>West</t>
        </is>
      </c>
      <c r="D12" s="11" t="inlineStr">
        <is>
          <t>Furniture</t>
        </is>
      </c>
      <c r="E12" s="11" t="inlineStr">
        <is>
          <t>SMB</t>
        </is>
      </c>
      <c r="F12" s="11" t="n">
        <v>12</v>
      </c>
      <c r="G12" s="11" t="n">
        <v>510</v>
      </c>
      <c r="H12" s="11" t="n">
        <v>6120</v>
      </c>
      <c r="I12" s="11" t="inlineStr">
        <is>
          <t>FURN-3390</t>
        </is>
      </c>
    </row>
    <row r="13" ht="20" customHeight="1">
      <c r="A13" s="10" t="inlineStr">
        <is>
          <t>ORD-1009</t>
        </is>
      </c>
      <c r="B13" s="10" t="inlineStr">
        <is>
          <t>2024-02-02</t>
        </is>
      </c>
      <c r="C13" s="10" t="inlineStr">
        <is>
          <t>North</t>
        </is>
      </c>
      <c r="D13" s="10" t="inlineStr">
        <is>
          <t>Electronics</t>
        </is>
      </c>
      <c r="E13" s="10" t="inlineStr">
        <is>
          <t>Consumer</t>
        </is>
      </c>
      <c r="F13" s="10" t="n">
        <v>3</v>
      </c>
      <c r="G13" s="10" t="n">
        <v>310</v>
      </c>
      <c r="H13" s="10" t="n">
        <v>930</v>
      </c>
      <c r="I13" s="10" t="inlineStr">
        <is>
          <t>ELEC-9055</t>
        </is>
      </c>
    </row>
    <row r="14" ht="20" customHeight="1">
      <c r="A14" s="11" t="inlineStr">
        <is>
          <t>ORD-1010</t>
        </is>
      </c>
      <c r="B14" s="11" t="inlineStr">
        <is>
          <t>2024-02-06</t>
        </is>
      </c>
      <c r="C14" s="11" t="inlineStr">
        <is>
          <t>South</t>
        </is>
      </c>
      <c r="D14" s="11" t="inlineStr">
        <is>
          <t>Electronics</t>
        </is>
      </c>
      <c r="E14" s="11" t="inlineStr">
        <is>
          <t>Enterprise</t>
        </is>
      </c>
      <c r="F14" s="11" t="n">
        <v>30</v>
      </c>
      <c r="G14" s="11" t="n">
        <v>260</v>
      </c>
      <c r="H14" s="11" t="n">
        <v>7800</v>
      </c>
      <c r="I14" s="11" t="inlineStr">
        <is>
          <t>ELEC-9021</t>
        </is>
      </c>
    </row>
    <row r="15" ht="20" customHeight="1">
      <c r="A15" s="10" t="inlineStr">
        <is>
          <t>ORD-1011</t>
        </is>
      </c>
      <c r="B15" s="10" t="inlineStr">
        <is>
          <t>2024-02-09</t>
        </is>
      </c>
      <c r="C15" s="10" t="inlineStr">
        <is>
          <t>East</t>
        </is>
      </c>
      <c r="D15" s="10" t="inlineStr">
        <is>
          <t>Furniture</t>
        </is>
      </c>
      <c r="E15" s="10" t="inlineStr">
        <is>
          <t>Enterprise</t>
        </is>
      </c>
      <c r="F15" s="10" t="n">
        <v>14</v>
      </c>
      <c r="G15" s="10" t="n">
        <v>420</v>
      </c>
      <c r="H15" s="10" t="n">
        <v>5880</v>
      </c>
      <c r="I15" s="10" t="inlineStr">
        <is>
          <t>FURN-3320</t>
        </is>
      </c>
    </row>
    <row r="16" ht="20" customHeight="1">
      <c r="A16" s="11" t="inlineStr">
        <is>
          <t>ORD-1012</t>
        </is>
      </c>
      <c r="B16" s="11" t="inlineStr">
        <is>
          <t>2024-02-13</t>
        </is>
      </c>
      <c r="C16" s="11" t="inlineStr">
        <is>
          <t>West</t>
        </is>
      </c>
      <c r="D16" s="11" t="inlineStr">
        <is>
          <t>Supplies</t>
        </is>
      </c>
      <c r="E16" s="11" t="inlineStr">
        <is>
          <t>SMB</t>
        </is>
      </c>
      <c r="F16" s="11" t="n">
        <v>55</v>
      </c>
      <c r="G16" s="11" t="n">
        <v>16.5</v>
      </c>
      <c r="H16" s="11" t="n">
        <v>907.5</v>
      </c>
      <c r="I16" s="11" t="inlineStr">
        <is>
          <t>SUPP-1044</t>
        </is>
      </c>
    </row>
    <row r="17" ht="20" customHeight="1">
      <c r="A17" s="10" t="inlineStr">
        <is>
          <t>ORD-1013</t>
        </is>
      </c>
      <c r="B17" s="10" t="inlineStr">
        <is>
          <t>2024-02-17</t>
        </is>
      </c>
      <c r="C17" s="10" t="inlineStr">
        <is>
          <t>North</t>
        </is>
      </c>
      <c r="D17" s="10" t="inlineStr">
        <is>
          <t>Supplies</t>
        </is>
      </c>
      <c r="E17" s="10" t="inlineStr">
        <is>
          <t>Consumer</t>
        </is>
      </c>
      <c r="F17" s="10" t="n">
        <v>25</v>
      </c>
      <c r="G17" s="10" t="n">
        <v>22</v>
      </c>
      <c r="H17" s="10" t="n">
        <v>550</v>
      </c>
      <c r="I17" s="10" t="inlineStr">
        <is>
          <t>SUPP-1102</t>
        </is>
      </c>
    </row>
    <row r="18" ht="20" customHeight="1">
      <c r="A18" s="11" t="inlineStr">
        <is>
          <t>ORD-1014</t>
        </is>
      </c>
      <c r="B18" s="11" t="inlineStr">
        <is>
          <t>2024-02-20</t>
        </is>
      </c>
      <c r="C18" s="11" t="inlineStr">
        <is>
          <t>South</t>
        </is>
      </c>
      <c r="D18" s="11" t="inlineStr">
        <is>
          <t>Furniture</t>
        </is>
      </c>
      <c r="E18" s="11" t="inlineStr">
        <is>
          <t>Consumer</t>
        </is>
      </c>
      <c r="F18" s="11" t="n">
        <v>2</v>
      </c>
      <c r="G18" s="11" t="n">
        <v>490</v>
      </c>
      <c r="H18" s="11" t="n">
        <v>980</v>
      </c>
      <c r="I18" s="11" t="inlineStr">
        <is>
          <t>FURN-3310</t>
        </is>
      </c>
    </row>
    <row r="19" ht="20" customHeight="1">
      <c r="A19" s="10" t="inlineStr">
        <is>
          <t>ORD-1015</t>
        </is>
      </c>
      <c r="B19" s="10" t="inlineStr">
        <is>
          <t>2024-02-24</t>
        </is>
      </c>
      <c r="C19" s="10" t="inlineStr">
        <is>
          <t>East</t>
        </is>
      </c>
      <c r="D19" s="10" t="inlineStr">
        <is>
          <t>Electronics</t>
        </is>
      </c>
      <c r="E19" s="10" t="inlineStr">
        <is>
          <t>SMB</t>
        </is>
      </c>
      <c r="F19" s="10" t="n">
        <v>9</v>
      </c>
      <c r="G19" s="10" t="n">
        <v>275</v>
      </c>
      <c r="H19" s="10" t="n">
        <v>2475</v>
      </c>
      <c r="I19" s="10" t="inlineStr">
        <is>
          <t>ELEC-8830</t>
        </is>
      </c>
    </row>
    <row r="20" ht="20" customHeight="1">
      <c r="A20" s="11" t="inlineStr">
        <is>
          <t>ORD-1016</t>
        </is>
      </c>
      <c r="B20" s="11" t="inlineStr">
        <is>
          <t>2024-02-28</t>
        </is>
      </c>
      <c r="C20" s="11" t="inlineStr">
        <is>
          <t>West</t>
        </is>
      </c>
      <c r="D20" s="11" t="inlineStr">
        <is>
          <t>Electronics</t>
        </is>
      </c>
      <c r="E20" s="11" t="inlineStr">
        <is>
          <t>Enterprise</t>
        </is>
      </c>
      <c r="F20" s="11" t="n">
        <v>28</v>
      </c>
      <c r="G20" s="11" t="n">
        <v>320</v>
      </c>
      <c r="H20" s="11" t="n">
        <v>8960</v>
      </c>
      <c r="I20" s="11" t="inlineStr">
        <is>
          <t>ELEC-9099</t>
        </is>
      </c>
    </row>
    <row r="21" ht="20" customHeight="1">
      <c r="A21" s="10" t="inlineStr">
        <is>
          <t>ORD-1017</t>
        </is>
      </c>
      <c r="B21" s="10" t="inlineStr">
        <is>
          <t>2024-03-03</t>
        </is>
      </c>
      <c r="C21" s="10" t="inlineStr">
        <is>
          <t>North</t>
        </is>
      </c>
      <c r="D21" s="10" t="inlineStr">
        <is>
          <t>Furniture</t>
        </is>
      </c>
      <c r="E21" s="10" t="inlineStr">
        <is>
          <t>Enterprise</t>
        </is>
      </c>
      <c r="F21" s="10" t="n">
        <v>18</v>
      </c>
      <c r="G21" s="10" t="n">
        <v>460</v>
      </c>
      <c r="H21" s="10" t="n">
        <v>8280</v>
      </c>
      <c r="I21" s="10" t="inlineStr">
        <is>
          <t>FURN-3388</t>
        </is>
      </c>
    </row>
    <row r="22" ht="20" customHeight="1">
      <c r="A22" s="11" t="inlineStr">
        <is>
          <t>ORD-1018</t>
        </is>
      </c>
      <c r="B22" s="11" t="inlineStr">
        <is>
          <t>2024-03-07</t>
        </is>
      </c>
      <c r="C22" s="11" t="inlineStr">
        <is>
          <t>South</t>
        </is>
      </c>
      <c r="D22" s="11" t="inlineStr">
        <is>
          <t>Supplies</t>
        </is>
      </c>
      <c r="E22" s="11" t="inlineStr">
        <is>
          <t>SMB</t>
        </is>
      </c>
      <c r="F22" s="11" t="n">
        <v>45</v>
      </c>
      <c r="G22" s="11" t="n">
        <v>15</v>
      </c>
      <c r="H22" s="11" t="n">
        <v>675</v>
      </c>
      <c r="I22" s="11" t="inlineStr">
        <is>
          <t>SUPP-1089</t>
        </is>
      </c>
    </row>
    <row r="23" ht="20" customHeight="1">
      <c r="A23" s="10" t="inlineStr">
        <is>
          <t>ORD-1019</t>
        </is>
      </c>
      <c r="B23" s="10" t="inlineStr">
        <is>
          <t>2024-03-10</t>
        </is>
      </c>
      <c r="C23" s="10" t="inlineStr">
        <is>
          <t>East</t>
        </is>
      </c>
      <c r="D23" s="10" t="inlineStr">
        <is>
          <t>Supplies</t>
        </is>
      </c>
      <c r="E23" s="10" t="inlineStr">
        <is>
          <t>Enterprise</t>
        </is>
      </c>
      <c r="F23" s="10" t="n">
        <v>95</v>
      </c>
      <c r="G23" s="10" t="n">
        <v>12.5</v>
      </c>
      <c r="H23" s="10" t="n">
        <v>1187.5</v>
      </c>
      <c r="I23" s="10" t="inlineStr">
        <is>
          <t>SUPP-1044</t>
        </is>
      </c>
    </row>
    <row r="24" ht="20" customHeight="1">
      <c r="A24" s="11" t="inlineStr">
        <is>
          <t>ORD-1020</t>
        </is>
      </c>
      <c r="B24" s="11" t="inlineStr">
        <is>
          <t>2024-03-14</t>
        </is>
      </c>
      <c r="C24" s="11" t="inlineStr">
        <is>
          <t>West</t>
        </is>
      </c>
      <c r="D24" s="11" t="inlineStr">
        <is>
          <t>Furniture</t>
        </is>
      </c>
      <c r="E24" s="11" t="inlineStr">
        <is>
          <t>Consumer</t>
        </is>
      </c>
      <c r="F24" s="11" t="n">
        <v>3</v>
      </c>
      <c r="G24" s="11" t="n">
        <v>530</v>
      </c>
      <c r="H24" s="11" t="n">
        <v>1590</v>
      </c>
      <c r="I24" s="11" t="inlineStr">
        <is>
          <t>FURN-3390</t>
        </is>
      </c>
    </row>
    <row r="25" ht="20" customHeight="1">
      <c r="A25" s="10" t="inlineStr">
        <is>
          <t>ORD-1021</t>
        </is>
      </c>
      <c r="B25" s="10" t="inlineStr">
        <is>
          <t>2024-03-18</t>
        </is>
      </c>
      <c r="C25" s="10" t="inlineStr">
        <is>
          <t>North</t>
        </is>
      </c>
      <c r="D25" s="10" t="inlineStr">
        <is>
          <t>Electronics</t>
        </is>
      </c>
      <c r="E25" s="10" t="inlineStr">
        <is>
          <t>SMB</t>
        </is>
      </c>
      <c r="F25" s="10" t="n">
        <v>11</v>
      </c>
      <c r="G25" s="10" t="n">
        <v>280</v>
      </c>
      <c r="H25" s="10" t="n">
        <v>3080</v>
      </c>
      <c r="I25" s="10" t="inlineStr">
        <is>
          <t>ELEC-9021</t>
        </is>
      </c>
    </row>
    <row r="26" ht="20" customHeight="1">
      <c r="A26" s="11" t="inlineStr">
        <is>
          <t>ORD-1022</t>
        </is>
      </c>
      <c r="B26" s="11" t="inlineStr">
        <is>
          <t>2024-03-21</t>
        </is>
      </c>
      <c r="C26" s="11" t="inlineStr">
        <is>
          <t>South</t>
        </is>
      </c>
      <c r="D26" s="11" t="inlineStr">
        <is>
          <t>Electronics</t>
        </is>
      </c>
      <c r="E26" s="11" t="inlineStr">
        <is>
          <t>Consumer</t>
        </is>
      </c>
      <c r="F26" s="11" t="n">
        <v>4</v>
      </c>
      <c r="G26" s="11" t="n">
        <v>230</v>
      </c>
      <c r="H26" s="11" t="n">
        <v>920</v>
      </c>
      <c r="I26" s="11" t="inlineStr">
        <is>
          <t>ELEC-8812</t>
        </is>
      </c>
    </row>
    <row r="27" ht="20" customHeight="1">
      <c r="A27" s="10" t="inlineStr">
        <is>
          <t>ORD-1023</t>
        </is>
      </c>
      <c r="B27" s="10" t="inlineStr">
        <is>
          <t>2024-03-25</t>
        </is>
      </c>
      <c r="C27" s="10" t="inlineStr">
        <is>
          <t>East</t>
        </is>
      </c>
      <c r="D27" s="10" t="inlineStr">
        <is>
          <t>Furniture</t>
        </is>
      </c>
      <c r="E27" s="10" t="inlineStr">
        <is>
          <t>SMB</t>
        </is>
      </c>
      <c r="F27" s="10" t="n">
        <v>7</v>
      </c>
      <c r="G27" s="10" t="n">
        <v>410</v>
      </c>
      <c r="H27" s="10" t="n">
        <v>2870</v>
      </c>
      <c r="I27" s="10" t="inlineStr">
        <is>
          <t>FURN-3355</t>
        </is>
      </c>
    </row>
    <row r="28" ht="20" customHeight="1">
      <c r="A28" s="11" t="inlineStr">
        <is>
          <t>ORD-1024</t>
        </is>
      </c>
      <c r="B28" s="11" t="inlineStr">
        <is>
          <t>2024-03-28</t>
        </is>
      </c>
      <c r="C28" s="11" t="inlineStr">
        <is>
          <t>West</t>
        </is>
      </c>
      <c r="D28" s="11" t="inlineStr">
        <is>
          <t>Supplies</t>
        </is>
      </c>
      <c r="E28" s="11" t="inlineStr">
        <is>
          <t>Enterprise</t>
        </is>
      </c>
      <c r="F28" s="11" t="n">
        <v>110</v>
      </c>
      <c r="G28" s="11" t="n">
        <v>13</v>
      </c>
      <c r="H28" s="11" t="n">
        <v>1430</v>
      </c>
      <c r="I28" s="11" t="inlineStr">
        <is>
          <t>SUPP-1089</t>
        </is>
      </c>
    </row>
    <row r="29" ht="20" customHeight="1">
      <c r="A29" s="10" t="inlineStr">
        <is>
          <t>ORD-1025</t>
        </is>
      </c>
      <c r="B29" s="10" t="inlineStr">
        <is>
          <t>2024-04-02</t>
        </is>
      </c>
      <c r="C29" s="10" t="inlineStr">
        <is>
          <t>North</t>
        </is>
      </c>
      <c r="D29" s="10" t="inlineStr">
        <is>
          <t>Supplies</t>
        </is>
      </c>
      <c r="E29" s="10" t="inlineStr">
        <is>
          <t>SMB</t>
        </is>
      </c>
      <c r="F29" s="10" t="n">
        <v>35</v>
      </c>
      <c r="G29" s="10" t="n">
        <v>19</v>
      </c>
      <c r="H29" s="10" t="n">
        <v>665</v>
      </c>
      <c r="I29" s="10" t="inlineStr">
        <is>
          <t>SUPP-1102</t>
        </is>
      </c>
    </row>
    <row r="30" ht="20" customHeight="1">
      <c r="A30" s="11" t="inlineStr">
        <is>
          <t>ORD-1026</t>
        </is>
      </c>
      <c r="B30" s="11" t="inlineStr">
        <is>
          <t>2024-04-06</t>
        </is>
      </c>
      <c r="C30" s="11" t="inlineStr">
        <is>
          <t>South</t>
        </is>
      </c>
      <c r="D30" s="11" t="inlineStr">
        <is>
          <t>Furniture</t>
        </is>
      </c>
      <c r="E30" s="11" t="inlineStr">
        <is>
          <t>Enterprise</t>
        </is>
      </c>
      <c r="F30" s="11" t="n">
        <v>16</v>
      </c>
      <c r="G30" s="11" t="n">
        <v>470</v>
      </c>
      <c r="H30" s="11" t="n">
        <v>7520</v>
      </c>
      <c r="I30" s="11" t="inlineStr">
        <is>
          <t>FURN-3320</t>
        </is>
      </c>
    </row>
    <row r="31" ht="20" customHeight="1">
      <c r="A31" s="10" t="inlineStr">
        <is>
          <t>ORD-1027</t>
        </is>
      </c>
      <c r="B31" s="10" t="inlineStr">
        <is>
          <t>2024-04-10</t>
        </is>
      </c>
      <c r="C31" s="10" t="inlineStr">
        <is>
          <t>East</t>
        </is>
      </c>
      <c r="D31" s="10" t="inlineStr">
        <is>
          <t>Electronics</t>
        </is>
      </c>
      <c r="E31" s="10" t="inlineStr">
        <is>
          <t>Enterprise</t>
        </is>
      </c>
      <c r="F31" s="10" t="n">
        <v>34</v>
      </c>
      <c r="G31" s="10" t="n">
        <v>305</v>
      </c>
      <c r="H31" s="10" t="n">
        <v>10370</v>
      </c>
      <c r="I31" s="10" t="inlineStr">
        <is>
          <t>ELEC-9099</t>
        </is>
      </c>
    </row>
    <row r="32" ht="20" customHeight="1">
      <c r="A32" s="11" t="inlineStr">
        <is>
          <t>ORD-1028</t>
        </is>
      </c>
      <c r="B32" s="11" t="inlineStr">
        <is>
          <t>2024-04-14</t>
        </is>
      </c>
      <c r="C32" s="11" t="inlineStr">
        <is>
          <t>West</t>
        </is>
      </c>
      <c r="D32" s="11" t="inlineStr">
        <is>
          <t>Electronics</t>
        </is>
      </c>
      <c r="E32" s="11" t="inlineStr">
        <is>
          <t>SMB</t>
        </is>
      </c>
      <c r="F32" s="11" t="n">
        <v>8</v>
      </c>
      <c r="G32" s="11" t="n">
        <v>260</v>
      </c>
      <c r="H32" s="11" t="n">
        <v>2080</v>
      </c>
      <c r="I32" s="11" t="inlineStr">
        <is>
          <t>ELEC-8830</t>
        </is>
      </c>
    </row>
    <row r="33" ht="20" customHeight="1">
      <c r="A33" s="10" t="inlineStr">
        <is>
          <t>ORD-1029</t>
        </is>
      </c>
      <c r="B33" s="10" t="inlineStr">
        <is>
          <t>2024-04-18</t>
        </is>
      </c>
      <c r="C33" s="10" t="inlineStr">
        <is>
          <t>North</t>
        </is>
      </c>
      <c r="D33" s="10" t="inlineStr">
        <is>
          <t>Electronics</t>
        </is>
      </c>
      <c r="E33" s="10" t="inlineStr">
        <is>
          <t>Enterprise</t>
        </is>
      </c>
      <c r="F33" s="10" t="n">
        <v>25</v>
      </c>
      <c r="G33" s="10" t="n">
        <v>340</v>
      </c>
      <c r="H33" s="10" t="n">
        <v>8500</v>
      </c>
      <c r="I33" s="10" t="inlineStr">
        <is>
          <t>ELEC-9042</t>
        </is>
      </c>
    </row>
    <row r="34" ht="20" customHeight="1">
      <c r="A34" s="11" t="inlineStr">
        <is>
          <t>ORD-1030</t>
        </is>
      </c>
      <c r="B34" s="11" t="inlineStr">
        <is>
          <t>2024-04-22</t>
        </is>
      </c>
      <c r="C34" s="11" t="inlineStr">
        <is>
          <t>South</t>
        </is>
      </c>
      <c r="D34" s="11" t="inlineStr">
        <is>
          <t>Supplies</t>
        </is>
      </c>
      <c r="E34" s="11" t="inlineStr">
        <is>
          <t>Consumer</t>
        </is>
      </c>
      <c r="F34" s="11" t="n">
        <v>18</v>
      </c>
      <c r="G34" s="11" t="n">
        <v>24</v>
      </c>
      <c r="H34" s="11" t="n">
        <v>432</v>
      </c>
      <c r="I34" s="11" t="inlineStr">
        <is>
          <t>SUPP-1044</t>
        </is>
      </c>
    </row>
    <row r="35" ht="20" customHeight="1">
      <c r="A35" s="10" t="inlineStr">
        <is>
          <t>ORD-1031</t>
        </is>
      </c>
      <c r="B35" s="10" t="inlineStr">
        <is>
          <t>2024-04-25</t>
        </is>
      </c>
      <c r="C35" s="10" t="inlineStr">
        <is>
          <t>East</t>
        </is>
      </c>
      <c r="D35" s="10" t="inlineStr">
        <is>
          <t>Supplies</t>
        </is>
      </c>
      <c r="E35" s="10" t="inlineStr">
        <is>
          <t>SMB</t>
        </is>
      </c>
      <c r="F35" s="10" t="n">
        <v>50</v>
      </c>
      <c r="G35" s="10" t="n">
        <v>17</v>
      </c>
      <c r="H35" s="10" t="n">
        <v>850</v>
      </c>
      <c r="I35" s="10" t="inlineStr">
        <is>
          <t>SUPP-1089</t>
        </is>
      </c>
    </row>
    <row r="36" ht="20" customHeight="1">
      <c r="A36" s="11" t="inlineStr">
        <is>
          <t>ORD-1032</t>
        </is>
      </c>
      <c r="B36" s="11" t="inlineStr">
        <is>
          <t>2024-04-29</t>
        </is>
      </c>
      <c r="C36" s="11" t="inlineStr">
        <is>
          <t>West</t>
        </is>
      </c>
      <c r="D36" s="11" t="inlineStr">
        <is>
          <t>Furniture</t>
        </is>
      </c>
      <c r="E36" s="11" t="inlineStr">
        <is>
          <t>Enterprise</t>
        </is>
      </c>
      <c r="F36" s="11" t="n">
        <v>20</v>
      </c>
      <c r="G36" s="11" t="n">
        <v>520</v>
      </c>
      <c r="H36" s="11" t="n">
        <v>10400</v>
      </c>
      <c r="I36" s="11" t="inlineStr">
        <is>
          <t>FURN-3388</t>
        </is>
      </c>
    </row>
    <row r="37" ht="20" customHeight="1">
      <c r="A37" s="10" t="inlineStr">
        <is>
          <t>ORD-1033</t>
        </is>
      </c>
      <c r="B37" s="10" t="inlineStr">
        <is>
          <t>2024-05-03</t>
        </is>
      </c>
      <c r="C37" s="10" t="inlineStr">
        <is>
          <t>North</t>
        </is>
      </c>
      <c r="D37" s="10" t="inlineStr">
        <is>
          <t>Furniture</t>
        </is>
      </c>
      <c r="E37" s="10" t="inlineStr">
        <is>
          <t>Consumer</t>
        </is>
      </c>
      <c r="F37" s="10" t="n">
        <v>1</v>
      </c>
      <c r="G37" s="10" t="n">
        <v>480</v>
      </c>
      <c r="H37" s="10" t="n">
        <v>480</v>
      </c>
      <c r="I37" s="10" t="inlineStr">
        <is>
          <t>FURN-3310</t>
        </is>
      </c>
    </row>
    <row r="38" ht="20" customHeight="1">
      <c r="A38" s="11" t="inlineStr">
        <is>
          <t>ORD-1034</t>
        </is>
      </c>
      <c r="B38" s="11" t="inlineStr">
        <is>
          <t>2024-05-07</t>
        </is>
      </c>
      <c r="C38" s="11" t="inlineStr">
        <is>
          <t>South</t>
        </is>
      </c>
      <c r="D38" s="11" t="inlineStr">
        <is>
          <t>Electronics</t>
        </is>
      </c>
      <c r="E38" s="11" t="inlineStr">
        <is>
          <t>SMB</t>
        </is>
      </c>
      <c r="F38" s="11" t="n">
        <v>14</v>
      </c>
      <c r="G38" s="11" t="n">
        <v>290</v>
      </c>
      <c r="H38" s="11" t="n">
        <v>4060</v>
      </c>
      <c r="I38" s="11" t="inlineStr">
        <is>
          <t>ELEC-9055</t>
        </is>
      </c>
    </row>
    <row r="39" ht="20" customHeight="1">
      <c r="A39" s="10" t="inlineStr">
        <is>
          <t>ORD-1035</t>
        </is>
      </c>
      <c r="B39" s="10" t="inlineStr">
        <is>
          <t>2024-05-11</t>
        </is>
      </c>
      <c r="C39" s="10" t="inlineStr">
        <is>
          <t>East</t>
        </is>
      </c>
      <c r="D39" s="10" t="inlineStr">
        <is>
          <t>Electronics</t>
        </is>
      </c>
      <c r="E39" s="10" t="inlineStr">
        <is>
          <t>Consumer</t>
        </is>
      </c>
      <c r="F39" s="10" t="n">
        <v>6</v>
      </c>
      <c r="G39" s="10" t="n">
        <v>225</v>
      </c>
      <c r="H39" s="10" t="n">
        <v>1350</v>
      </c>
      <c r="I39" s="10" t="inlineStr">
        <is>
          <t>ELEC-8812</t>
        </is>
      </c>
    </row>
    <row r="40"/>
    <row r="41"/>
    <row r="42" ht="22" customHeight="1">
      <c r="A42" s="3" t="inlineStr">
        <is>
          <t>LIVE =PY() PYTHON ANALYSIS METRICS</t>
        </is>
      </c>
    </row>
    <row r="43" ht="26" customHeight="1">
      <c r="A43" s="12" t="inlineStr">
        <is>
          <t>1. Total Enterprise Sales — Filters and sums all Enterprise tier sales orders</t>
        </is>
      </c>
      <c r="F43" s="13">
        <f>ORG.EXTENSION.WRITERAGENT.PYTHONFUNCTION.PY("sum(r[7] for r in data[1:] if r[4]=='Enterprise')", A4:I39)</f>
        <v/>
      </c>
    </row>
    <row r="44" ht="26" customHeight="1">
      <c r="A44" s="12" t="inlineStr">
        <is>
          <t>2. Top Revenue SKU — Finds the highest single order revenue SKU code</t>
        </is>
      </c>
      <c r="F44" s="13">
        <f>ORG.EXTENSION.WRITERAGENT.PYTHONFUNCTION.PY("max(data[1:], key=lambda r: r[7])[8]", A4:I39)</f>
        <v/>
      </c>
    </row>
    <row r="45" ht="26" customHeight="1">
      <c r="A45" s="12" t="inlineStr">
        <is>
          <t>3. Avg Units per Order — Calculates average units purchased per transaction</t>
        </is>
      </c>
      <c r="F45" s="13">
        <f>ORG.EXTENSION.WRITERAGENT.PYTHONFUNCTION.PY("round(sum(r[5] for r in data[1:])/len(data[1:]), 1)", A4:I39)</f>
        <v/>
      </c>
    </row>
    <row r="46" ht="26" customHeight="1">
      <c r="A46" s="12" t="inlineStr">
        <is>
          <t>4. High Value Orders (&gt; $8k) — Flags order totals exceeding 2 standard deviations</t>
        </is>
      </c>
      <c r="F46" s="13">
        <f>ORG.EXTENSION.WRITERAGENT.PYTHONFUNCTION.PY("sum(1 for r in data[1:] if r[7] &gt; 8000)", A4:I39)</f>
        <v/>
      </c>
    </row>
  </sheetData>
  <mergeCells count="11">
    <mergeCell ref="A43:E43"/>
    <mergeCell ref="A42:I42"/>
    <mergeCell ref="F43:I43"/>
    <mergeCell ref="A1:I1"/>
    <mergeCell ref="F44:I44"/>
    <mergeCell ref="A45:E45"/>
    <mergeCell ref="A46:E46"/>
    <mergeCell ref="A3:I3"/>
    <mergeCell ref="A44:E44"/>
    <mergeCell ref="F45:I45"/>
    <mergeCell ref="F46:I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5" customWidth="1" min="4" max="4"/>
    <col width="12" customWidth="1" min="5" max="5"/>
    <col width="15" customWidth="1" min="6" max="6"/>
    <col width="12" customWidth="1" min="7" max="7"/>
  </cols>
  <sheetData>
    <row r="1" ht="32" customHeight="1">
      <c r="A1" s="1" t="inlineStr">
        <is>
          <t>📊 Statistics_ML — SciPy, Statsmodels &amp; Scikit-Learn Predictive Modeling</t>
        </is>
      </c>
    </row>
    <row r="2"/>
    <row r="3" ht="22" customHeight="1">
      <c r="A3" s="3" t="inlineStr">
        <is>
          <t>MARKETING CAMPAIGN DATASET (20 CAMPAIGNS)</t>
        </is>
      </c>
    </row>
    <row r="4" ht="20" customHeight="1">
      <c r="A4" s="9" t="inlineStr">
        <is>
          <t>Campaign</t>
        </is>
      </c>
      <c r="B4" s="9" t="inlineStr">
        <is>
          <t>Channel</t>
        </is>
      </c>
      <c r="C4" s="9" t="inlineStr">
        <is>
          <t>Ad_Spend</t>
        </is>
      </c>
      <c r="D4" s="9" t="inlineStr">
        <is>
          <t>Impressions</t>
        </is>
      </c>
      <c r="E4" s="9" t="inlineStr">
        <is>
          <t>Clicks</t>
        </is>
      </c>
      <c r="F4" s="9" t="inlineStr">
        <is>
          <t>Conversions</t>
        </is>
      </c>
      <c r="G4" s="9" t="inlineStr">
        <is>
          <t>Revenue</t>
        </is>
      </c>
    </row>
    <row r="5" ht="20" customHeight="1">
      <c r="A5" s="10" t="inlineStr">
        <is>
          <t>CMP-101</t>
        </is>
      </c>
      <c r="B5" s="10" t="inlineStr">
        <is>
          <t>Search Ads</t>
        </is>
      </c>
      <c r="C5" s="10" t="n">
        <v>2500</v>
      </c>
      <c r="D5" s="10" t="n">
        <v>125000</v>
      </c>
      <c r="E5" s="10" t="n">
        <v>6250</v>
      </c>
      <c r="F5" s="10" t="n">
        <v>312</v>
      </c>
      <c r="G5" s="10" t="n">
        <v>15600</v>
      </c>
    </row>
    <row r="6" ht="20" customHeight="1">
      <c r="A6" s="11" t="inlineStr">
        <is>
          <t>CMP-102</t>
        </is>
      </c>
      <c r="B6" s="11" t="inlineStr">
        <is>
          <t>Social Media</t>
        </is>
      </c>
      <c r="C6" s="11" t="n">
        <v>1800</v>
      </c>
      <c r="D6" s="11" t="n">
        <v>240000</v>
      </c>
      <c r="E6" s="11" t="n">
        <v>4800</v>
      </c>
      <c r="F6" s="11" t="n">
        <v>192</v>
      </c>
      <c r="G6" s="11" t="n">
        <v>8640</v>
      </c>
    </row>
    <row r="7" ht="20" customHeight="1">
      <c r="A7" s="10" t="inlineStr">
        <is>
          <t>CMP-103</t>
        </is>
      </c>
      <c r="B7" s="10" t="inlineStr">
        <is>
          <t>Email Marketing</t>
        </is>
      </c>
      <c r="C7" s="10" t="n">
        <v>600</v>
      </c>
      <c r="D7" s="10" t="n">
        <v>45000</v>
      </c>
      <c r="E7" s="10" t="n">
        <v>3150</v>
      </c>
      <c r="F7" s="10" t="n">
        <v>252</v>
      </c>
      <c r="G7" s="10" t="n">
        <v>10080</v>
      </c>
    </row>
    <row r="8" ht="20" customHeight="1">
      <c r="A8" s="11" t="inlineStr">
        <is>
          <t>CMP-104</t>
        </is>
      </c>
      <c r="B8" s="11" t="inlineStr">
        <is>
          <t>Display Banners</t>
        </is>
      </c>
      <c r="C8" s="11" t="n">
        <v>1200</v>
      </c>
      <c r="D8" s="11" t="n">
        <v>320000</v>
      </c>
      <c r="E8" s="11" t="n">
        <v>3200</v>
      </c>
      <c r="F8" s="11" t="n">
        <v>96</v>
      </c>
      <c r="G8" s="11" t="n">
        <v>3840</v>
      </c>
    </row>
    <row r="9" ht="20" customHeight="1">
      <c r="A9" s="10" t="inlineStr">
        <is>
          <t>CMP-105</t>
        </is>
      </c>
      <c r="B9" s="10" t="inlineStr">
        <is>
          <t>Video Pre-roll</t>
        </is>
      </c>
      <c r="C9" s="10" t="n">
        <v>3200</v>
      </c>
      <c r="D9" s="10" t="n">
        <v>410000</v>
      </c>
      <c r="E9" s="10" t="n">
        <v>8200</v>
      </c>
      <c r="F9" s="10" t="n">
        <v>246</v>
      </c>
      <c r="G9" s="10" t="n">
        <v>12300</v>
      </c>
    </row>
    <row r="10" ht="20" customHeight="1">
      <c r="A10" s="11" t="inlineStr">
        <is>
          <t>CMP-106</t>
        </is>
      </c>
      <c r="B10" s="11" t="inlineStr">
        <is>
          <t>Search Ads</t>
        </is>
      </c>
      <c r="C10" s="11" t="n">
        <v>4100</v>
      </c>
      <c r="D10" s="11" t="n">
        <v>210000</v>
      </c>
      <c r="E10" s="11" t="n">
        <v>10500</v>
      </c>
      <c r="F10" s="11" t="n">
        <v>578</v>
      </c>
      <c r="G10" s="11" t="n">
        <v>28900</v>
      </c>
    </row>
    <row r="11" ht="20" customHeight="1">
      <c r="A11" s="10" t="inlineStr">
        <is>
          <t>CMP-107</t>
        </is>
      </c>
      <c r="B11" s="10" t="inlineStr">
        <is>
          <t>Social Media</t>
        </is>
      </c>
      <c r="C11" s="10" t="n">
        <v>2200</v>
      </c>
      <c r="D11" s="10" t="n">
        <v>290000</v>
      </c>
      <c r="E11" s="10" t="n">
        <v>5800</v>
      </c>
      <c r="F11" s="10" t="n">
        <v>261</v>
      </c>
      <c r="G11" s="10" t="n">
        <v>11745</v>
      </c>
    </row>
    <row r="12" ht="20" customHeight="1">
      <c r="A12" s="11" t="inlineStr">
        <is>
          <t>CMP-108</t>
        </is>
      </c>
      <c r="B12" s="11" t="inlineStr">
        <is>
          <t>Influencer Promo</t>
        </is>
      </c>
      <c r="C12" s="11" t="n">
        <v>5000</v>
      </c>
      <c r="D12" s="11" t="n">
        <v>600000</v>
      </c>
      <c r="E12" s="11" t="n">
        <v>18000</v>
      </c>
      <c r="F12" s="11" t="n">
        <v>540</v>
      </c>
      <c r="G12" s="11" t="n">
        <v>24300</v>
      </c>
    </row>
    <row r="13" ht="20" customHeight="1">
      <c r="A13" s="10" t="inlineStr">
        <is>
          <t>CMP-109</t>
        </is>
      </c>
      <c r="B13" s="10" t="inlineStr">
        <is>
          <t>Email Marketing</t>
        </is>
      </c>
      <c r="C13" s="10" t="n">
        <v>750</v>
      </c>
      <c r="D13" s="10" t="n">
        <v>55000</v>
      </c>
      <c r="E13" s="10" t="n">
        <v>4125</v>
      </c>
      <c r="F13" s="10" t="n">
        <v>371</v>
      </c>
      <c r="G13" s="10" t="n">
        <v>14840</v>
      </c>
    </row>
    <row r="14" ht="20" customHeight="1">
      <c r="A14" s="11" t="inlineStr">
        <is>
          <t>CMP-110</t>
        </is>
      </c>
      <c r="B14" s="11" t="inlineStr">
        <is>
          <t>Search Ads</t>
        </is>
      </c>
      <c r="C14" s="11" t="n">
        <v>3400</v>
      </c>
      <c r="D14" s="11" t="n">
        <v>175000</v>
      </c>
      <c r="E14" s="11" t="n">
        <v>8750</v>
      </c>
      <c r="F14" s="11" t="n">
        <v>481</v>
      </c>
      <c r="G14" s="11" t="n">
        <v>24050</v>
      </c>
    </row>
    <row r="15" ht="20" customHeight="1">
      <c r="A15" s="10" t="inlineStr">
        <is>
          <t>CMP-111</t>
        </is>
      </c>
      <c r="B15" s="10" t="inlineStr">
        <is>
          <t>Display Banners</t>
        </is>
      </c>
      <c r="C15" s="10" t="n">
        <v>1500</v>
      </c>
      <c r="D15" s="10" t="n">
        <v>380000</v>
      </c>
      <c r="E15" s="10" t="n">
        <v>4180</v>
      </c>
      <c r="F15" s="10" t="n">
        <v>125</v>
      </c>
      <c r="G15" s="10" t="n">
        <v>5000</v>
      </c>
    </row>
    <row r="16" ht="20" customHeight="1">
      <c r="A16" s="11" t="inlineStr">
        <is>
          <t>CMP-112</t>
        </is>
      </c>
      <c r="B16" s="11" t="inlineStr">
        <is>
          <t>Video Pre-roll</t>
        </is>
      </c>
      <c r="C16" s="11" t="n">
        <v>2800</v>
      </c>
      <c r="D16" s="11" t="n">
        <v>350000</v>
      </c>
      <c r="E16" s="11" t="n">
        <v>7000</v>
      </c>
      <c r="F16" s="11" t="n">
        <v>224</v>
      </c>
      <c r="G16" s="11" t="n">
        <v>11200</v>
      </c>
    </row>
    <row r="17" ht="20" customHeight="1">
      <c r="A17" s="10" t="inlineStr">
        <is>
          <t>CMP-113</t>
        </is>
      </c>
      <c r="B17" s="10" t="inlineStr">
        <is>
          <t>Social Media</t>
        </is>
      </c>
      <c r="C17" s="10" t="n">
        <v>1950</v>
      </c>
      <c r="D17" s="10" t="n">
        <v>260000</v>
      </c>
      <c r="E17" s="10" t="n">
        <v>5200</v>
      </c>
      <c r="F17" s="10" t="n">
        <v>234</v>
      </c>
      <c r="G17" s="10" t="n">
        <v>10530</v>
      </c>
    </row>
    <row r="18" ht="20" customHeight="1">
      <c r="A18" s="11" t="inlineStr">
        <is>
          <t>CMP-114</t>
        </is>
      </c>
      <c r="B18" s="11" t="inlineStr">
        <is>
          <t>Search Ads</t>
        </is>
      </c>
      <c r="C18" s="11" t="n">
        <v>5200</v>
      </c>
      <c r="D18" s="11" t="n">
        <v>270000</v>
      </c>
      <c r="E18" s="11" t="n">
        <v>13500</v>
      </c>
      <c r="F18" s="11" t="n">
        <v>742</v>
      </c>
      <c r="G18" s="11" t="n">
        <v>37100</v>
      </c>
    </row>
    <row r="19" ht="20" customHeight="1">
      <c r="A19" s="10" t="inlineStr">
        <is>
          <t>CMP-115</t>
        </is>
      </c>
      <c r="B19" s="10" t="inlineStr">
        <is>
          <t>Influencer Promo</t>
        </is>
      </c>
      <c r="C19" s="10" t="n">
        <v>4500</v>
      </c>
      <c r="D19" s="10" t="n">
        <v>520000</v>
      </c>
      <c r="E19" s="10" t="n">
        <v>15600</v>
      </c>
      <c r="F19" s="10" t="n">
        <v>468</v>
      </c>
      <c r="G19" s="10" t="n">
        <v>21060</v>
      </c>
    </row>
    <row r="20" ht="20" customHeight="1">
      <c r="A20" s="11" t="inlineStr">
        <is>
          <t>CMP-116</t>
        </is>
      </c>
      <c r="B20" s="11" t="inlineStr">
        <is>
          <t>Email Marketing</t>
        </is>
      </c>
      <c r="C20" s="11" t="n">
        <v>900</v>
      </c>
      <c r="D20" s="11" t="n">
        <v>68000</v>
      </c>
      <c r="E20" s="11" t="n">
        <v>5440</v>
      </c>
      <c r="F20" s="11" t="n">
        <v>462</v>
      </c>
      <c r="G20" s="11" t="n">
        <v>18480</v>
      </c>
    </row>
    <row r="21" ht="20" customHeight="1">
      <c r="A21" s="10" t="inlineStr">
        <is>
          <t>CMP-117</t>
        </is>
      </c>
      <c r="B21" s="10" t="inlineStr">
        <is>
          <t>Social Media</t>
        </is>
      </c>
      <c r="C21" s="10" t="n">
        <v>2600</v>
      </c>
      <c r="D21" s="10" t="n">
        <v>340000</v>
      </c>
      <c r="E21" s="10" t="n">
        <v>6800</v>
      </c>
      <c r="F21" s="10" t="n">
        <v>306</v>
      </c>
      <c r="G21" s="10" t="n">
        <v>13770</v>
      </c>
    </row>
    <row r="22" ht="20" customHeight="1">
      <c r="A22" s="11" t="inlineStr">
        <is>
          <t>CMP-118</t>
        </is>
      </c>
      <c r="B22" s="11" t="inlineStr">
        <is>
          <t>Display Banners</t>
        </is>
      </c>
      <c r="C22" s="11" t="n">
        <v>1100</v>
      </c>
      <c r="D22" s="11" t="n">
        <v>290000</v>
      </c>
      <c r="E22" s="11" t="n">
        <v>2900</v>
      </c>
      <c r="F22" s="11" t="n">
        <v>87</v>
      </c>
      <c r="G22" s="11" t="n">
        <v>3480</v>
      </c>
    </row>
    <row r="23" ht="20" customHeight="1">
      <c r="A23" s="10" t="inlineStr">
        <is>
          <t>CMP-119</t>
        </is>
      </c>
      <c r="B23" s="10" t="inlineStr">
        <is>
          <t>Search Ads</t>
        </is>
      </c>
      <c r="C23" s="10" t="n">
        <v>4800</v>
      </c>
      <c r="D23" s="10" t="n">
        <v>245000</v>
      </c>
      <c r="E23" s="10" t="n">
        <v>12250</v>
      </c>
      <c r="F23" s="10" t="n">
        <v>674</v>
      </c>
      <c r="G23" s="10" t="n">
        <v>33700</v>
      </c>
    </row>
    <row r="24" ht="20" customHeight="1">
      <c r="A24" s="11" t="inlineStr">
        <is>
          <t>CMP-120</t>
        </is>
      </c>
      <c r="B24" s="11" t="inlineStr">
        <is>
          <t>Video Pre-roll</t>
        </is>
      </c>
      <c r="C24" s="11" t="n">
        <v>3600</v>
      </c>
      <c r="D24" s="11" t="n">
        <v>460000</v>
      </c>
      <c r="E24" s="11" t="n">
        <v>9200</v>
      </c>
      <c r="F24" s="11" t="n">
        <v>294</v>
      </c>
      <c r="G24" s="11" t="n">
        <v>14700</v>
      </c>
    </row>
    <row r="25"/>
    <row r="26"/>
    <row r="27" ht="22" customHeight="1">
      <c r="A27" s="3" t="inlineStr">
        <is>
          <t>LIVE =PY() PYTHON ANALYSIS METRICS</t>
        </is>
      </c>
    </row>
    <row r="28" ht="26" customHeight="1">
      <c r="A28" s="12" t="inlineStr">
        <is>
          <t>1. Ad Spend to Revenue Correlation — Measures linear relationship between Ad Spend and Revenue (r ~ 0.80)</t>
        </is>
      </c>
      <c r="E28" s="13">
        <f>ORG.EXTENSION.WRITERAGENT.PYTHONFUNCTION.PY("round(st.pearsonr([r[2] for r in data[1:]], [r[6] for r in data[1:]])[0], 4)", A4:G24)</f>
        <v/>
      </c>
    </row>
    <row r="29" ht="26" customHeight="1">
      <c r="A29" s="12" t="inlineStr">
        <is>
          <t>2. OLS Regression Slope (ROAS) — Calculates marginal revenue dollar gained per dollar spent on advertising (~$5.07)</t>
        </is>
      </c>
      <c r="E29" s="13">
        <f>ORG.EXTENSION.WRITERAGENT.PYTHONFUNCTION.PY("round(st.linregress([r[2] for r in data[1:]], [r[6] for r in data[1:]]).slope, 2)", A4:G24)</f>
        <v/>
      </c>
    </row>
    <row r="30" ht="26" customHeight="1">
      <c r="A30" s="12" t="inlineStr">
        <is>
          <t>3. Highest ROI Marketing Channel — Identifies best performing marketing channel by conversion ROI</t>
        </is>
      </c>
      <c r="E30" s="13">
        <f>ORG.EXTENSION.WRITERAGENT.PYTHONFUNCTION.PY("max(['Search Ads', 'Social Media', 'Email Marketing'], key=lambda ch: sum(r[6] for r in data[1:] if r[1]==ch)/max(1, sum(r[2] for r in data[1:] if r[1]==ch)))", A4:G24)</f>
        <v/>
      </c>
    </row>
    <row r="31" ht="26" customHeight="1">
      <c r="A31" s="12" t="inlineStr">
        <is>
          <t>4. Total Marketing ROAS — Overall portfolio return multiplier across all channels</t>
        </is>
      </c>
      <c r="E31" s="13">
        <f>ORG.EXTENSION.WRITERAGENT.PYTHONFUNCTION.PY("round(sum(r[6] for r in data[1:]) / sum(r[2] for r in data[1:]), 2)", A4:G24)</f>
        <v/>
      </c>
    </row>
  </sheetData>
  <mergeCells count="11">
    <mergeCell ref="E28:G28"/>
    <mergeCell ref="A1:G1"/>
    <mergeCell ref="A31:D31"/>
    <mergeCell ref="A27:G27"/>
    <mergeCell ref="A3:G3"/>
    <mergeCell ref="A30:D30"/>
    <mergeCell ref="E31:G31"/>
    <mergeCell ref="A29:D29"/>
    <mergeCell ref="E29:G29"/>
    <mergeCell ref="E30:G30"/>
    <mergeCell ref="A28:D2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9" customWidth="1" min="4" max="4"/>
    <col width="16" customWidth="1" min="5" max="5"/>
  </cols>
  <sheetData>
    <row r="1" ht="32" customHeight="1">
      <c r="A1" s="1" t="inlineStr">
        <is>
          <t>📊 Forecasting — Time Series Trend &amp; Seasonal Decomposition</t>
        </is>
      </c>
    </row>
    <row r="2"/>
    <row r="3" ht="22" customHeight="1">
      <c r="A3" s="3" t="inlineStr">
        <is>
          <t>36-MONTH HISTORICAL SALES SERIES</t>
        </is>
      </c>
    </row>
    <row r="4" ht="20" customHeight="1">
      <c r="A4" s="9" t="inlineStr">
        <is>
          <t>Month_ID</t>
        </is>
      </c>
      <c r="B4" s="9" t="inlineStr">
        <is>
          <t>Date</t>
        </is>
      </c>
      <c r="C4" s="9" t="inlineStr">
        <is>
          <t>Base_Trend</t>
        </is>
      </c>
      <c r="D4" s="9" t="inlineStr">
        <is>
          <t>Seasonal_Factor</t>
        </is>
      </c>
      <c r="E4" s="9" t="inlineStr">
        <is>
          <t>Actual_Sales</t>
        </is>
      </c>
    </row>
    <row r="5" ht="20" customHeight="1">
      <c r="A5" s="10" t="inlineStr">
        <is>
          <t>M-01</t>
        </is>
      </c>
      <c r="B5" s="10" t="inlineStr">
        <is>
          <t>2022-01-01</t>
        </is>
      </c>
      <c r="C5" s="10" t="n">
        <v>120</v>
      </c>
      <c r="D5" s="10" t="n">
        <v>-18</v>
      </c>
      <c r="E5" s="10" t="n">
        <v>97</v>
      </c>
    </row>
    <row r="6" ht="20" customHeight="1">
      <c r="A6" s="11" t="inlineStr">
        <is>
          <t>M-02</t>
        </is>
      </c>
      <c r="B6" s="11" t="inlineStr">
        <is>
          <t>2022-02-01</t>
        </is>
      </c>
      <c r="C6" s="11" t="n">
        <v>124.5</v>
      </c>
      <c r="D6" s="11" t="n">
        <v>-18</v>
      </c>
      <c r="E6" s="11" t="n">
        <v>108.5</v>
      </c>
    </row>
    <row r="7" ht="20" customHeight="1">
      <c r="A7" s="10" t="inlineStr">
        <is>
          <t>M-03</t>
        </is>
      </c>
      <c r="B7" s="10" t="inlineStr">
        <is>
          <t>2022-03-01</t>
        </is>
      </c>
      <c r="C7" s="10" t="n">
        <v>129</v>
      </c>
      <c r="D7" s="10" t="n">
        <v>2</v>
      </c>
      <c r="E7" s="10" t="n">
        <v>129</v>
      </c>
    </row>
    <row r="8" ht="20" customHeight="1">
      <c r="A8" s="11" t="inlineStr">
        <is>
          <t>M-04</t>
        </is>
      </c>
      <c r="B8" s="11" t="inlineStr">
        <is>
          <t>2022-04-01</t>
        </is>
      </c>
      <c r="C8" s="11" t="n">
        <v>133.5</v>
      </c>
      <c r="D8" s="11" t="n">
        <v>2</v>
      </c>
      <c r="E8" s="11" t="n">
        <v>140.5</v>
      </c>
    </row>
    <row r="9" ht="20" customHeight="1">
      <c r="A9" s="10" t="inlineStr">
        <is>
          <t>M-05</t>
        </is>
      </c>
      <c r="B9" s="10" t="inlineStr">
        <is>
          <t>2022-05-01</t>
        </is>
      </c>
      <c r="C9" s="10" t="n">
        <v>138</v>
      </c>
      <c r="D9" s="10" t="n">
        <v>15</v>
      </c>
      <c r="E9" s="10" t="n">
        <v>154</v>
      </c>
    </row>
    <row r="10" ht="20" customHeight="1">
      <c r="A10" s="11" t="inlineStr">
        <is>
          <t>M-06</t>
        </is>
      </c>
      <c r="B10" s="11" t="inlineStr">
        <is>
          <t>2022-06-01</t>
        </is>
      </c>
      <c r="C10" s="11" t="n">
        <v>142.5</v>
      </c>
      <c r="D10" s="11" t="n">
        <v>15</v>
      </c>
      <c r="E10" s="11" t="n">
        <v>154.5</v>
      </c>
    </row>
    <row r="11" ht="20" customHeight="1">
      <c r="A11" s="10" t="inlineStr">
        <is>
          <t>M-07</t>
        </is>
      </c>
      <c r="B11" s="10" t="inlineStr">
        <is>
          <t>2022-07-01</t>
        </is>
      </c>
      <c r="C11" s="10" t="n">
        <v>147</v>
      </c>
      <c r="D11" s="10" t="n">
        <v>15</v>
      </c>
      <c r="E11" s="10" t="n">
        <v>166</v>
      </c>
    </row>
    <row r="12" ht="20" customHeight="1">
      <c r="A12" s="11" t="inlineStr">
        <is>
          <t>M-08</t>
        </is>
      </c>
      <c r="B12" s="11" t="inlineStr">
        <is>
          <t>2022-08-01</t>
        </is>
      </c>
      <c r="C12" s="11" t="n">
        <v>151.5</v>
      </c>
      <c r="D12" s="11" t="n">
        <v>2</v>
      </c>
      <c r="E12" s="11" t="n">
        <v>153.5</v>
      </c>
    </row>
    <row r="13" ht="20" customHeight="1">
      <c r="A13" s="10" t="inlineStr">
        <is>
          <t>M-09</t>
        </is>
      </c>
      <c r="B13" s="10" t="inlineStr">
        <is>
          <t>2022-09-01</t>
        </is>
      </c>
      <c r="C13" s="10" t="n">
        <v>156</v>
      </c>
      <c r="D13" s="10" t="n">
        <v>2</v>
      </c>
      <c r="E13" s="10" t="n">
        <v>154</v>
      </c>
    </row>
    <row r="14" ht="20" customHeight="1">
      <c r="A14" s="11" t="inlineStr">
        <is>
          <t>M-10</t>
        </is>
      </c>
      <c r="B14" s="11" t="inlineStr">
        <is>
          <t>2022-10-01</t>
        </is>
      </c>
      <c r="C14" s="11" t="n">
        <v>160.5</v>
      </c>
      <c r="D14" s="11" t="n">
        <v>2</v>
      </c>
      <c r="E14" s="11" t="n">
        <v>165.5</v>
      </c>
    </row>
    <row r="15" ht="20" customHeight="1">
      <c r="A15" s="10" t="inlineStr">
        <is>
          <t>M-11</t>
        </is>
      </c>
      <c r="B15" s="10" t="inlineStr">
        <is>
          <t>2022-11-01</t>
        </is>
      </c>
      <c r="C15" s="10" t="n">
        <v>165</v>
      </c>
      <c r="D15" s="10" t="n">
        <v>28</v>
      </c>
      <c r="E15" s="10" t="n">
        <v>192</v>
      </c>
    </row>
    <row r="16" ht="20" customHeight="1">
      <c r="A16" s="11" t="inlineStr">
        <is>
          <t>M-12</t>
        </is>
      </c>
      <c r="B16" s="11" t="inlineStr">
        <is>
          <t>2022-12-01</t>
        </is>
      </c>
      <c r="C16" s="11" t="n">
        <v>169.5</v>
      </c>
      <c r="D16" s="11" t="n">
        <v>28</v>
      </c>
      <c r="E16" s="11" t="n">
        <v>192.5</v>
      </c>
    </row>
    <row r="17" ht="20" customHeight="1">
      <c r="A17" s="10" t="inlineStr">
        <is>
          <t>M-13</t>
        </is>
      </c>
      <c r="B17" s="10" t="inlineStr">
        <is>
          <t>2023-01-01</t>
        </is>
      </c>
      <c r="C17" s="10" t="n">
        <v>174</v>
      </c>
      <c r="D17" s="10" t="n">
        <v>-18</v>
      </c>
      <c r="E17" s="10" t="n">
        <v>158</v>
      </c>
    </row>
    <row r="18" ht="20" customHeight="1">
      <c r="A18" s="11" t="inlineStr">
        <is>
          <t>M-14</t>
        </is>
      </c>
      <c r="B18" s="11" t="inlineStr">
        <is>
          <t>2023-02-01</t>
        </is>
      </c>
      <c r="C18" s="11" t="n">
        <v>178.5</v>
      </c>
      <c r="D18" s="11" t="n">
        <v>-18</v>
      </c>
      <c r="E18" s="11" t="n">
        <v>158.5</v>
      </c>
    </row>
    <row r="19" ht="20" customHeight="1">
      <c r="A19" s="10" t="inlineStr">
        <is>
          <t>M-15</t>
        </is>
      </c>
      <c r="B19" s="10" t="inlineStr">
        <is>
          <t>2023-03-01</t>
        </is>
      </c>
      <c r="C19" s="10" t="n">
        <v>183</v>
      </c>
      <c r="D19" s="10" t="n">
        <v>2</v>
      </c>
      <c r="E19" s="10" t="n">
        <v>190</v>
      </c>
    </row>
    <row r="20" ht="20" customHeight="1">
      <c r="A20" s="11" t="inlineStr">
        <is>
          <t>M-16</t>
        </is>
      </c>
      <c r="B20" s="11" t="inlineStr">
        <is>
          <t>2023-04-01</t>
        </is>
      </c>
      <c r="C20" s="11" t="n">
        <v>187.5</v>
      </c>
      <c r="D20" s="11" t="n">
        <v>2</v>
      </c>
      <c r="E20" s="11" t="n">
        <v>190.5</v>
      </c>
    </row>
    <row r="21" ht="20" customHeight="1">
      <c r="A21" s="10" t="inlineStr">
        <is>
          <t>M-17</t>
        </is>
      </c>
      <c r="B21" s="10" t="inlineStr">
        <is>
          <t>2023-05-01</t>
        </is>
      </c>
      <c r="C21" s="10" t="n">
        <v>192</v>
      </c>
      <c r="D21" s="10" t="n">
        <v>15</v>
      </c>
      <c r="E21" s="10" t="n">
        <v>204</v>
      </c>
    </row>
    <row r="22" ht="20" customHeight="1">
      <c r="A22" s="11" t="inlineStr">
        <is>
          <t>M-18</t>
        </is>
      </c>
      <c r="B22" s="11" t="inlineStr">
        <is>
          <t>2023-06-01</t>
        </is>
      </c>
      <c r="C22" s="11" t="n">
        <v>196.5</v>
      </c>
      <c r="D22" s="11" t="n">
        <v>15</v>
      </c>
      <c r="E22" s="11" t="n">
        <v>215.5</v>
      </c>
    </row>
    <row r="23" ht="20" customHeight="1">
      <c r="A23" s="10" t="inlineStr">
        <is>
          <t>M-19</t>
        </is>
      </c>
      <c r="B23" s="10" t="inlineStr">
        <is>
          <t>2023-07-01</t>
        </is>
      </c>
      <c r="C23" s="10" t="n">
        <v>201</v>
      </c>
      <c r="D23" s="10" t="n">
        <v>15</v>
      </c>
      <c r="E23" s="10" t="n">
        <v>216</v>
      </c>
    </row>
    <row r="24" ht="20" customHeight="1">
      <c r="A24" s="11" t="inlineStr">
        <is>
          <t>M-20</t>
        </is>
      </c>
      <c r="B24" s="11" t="inlineStr">
        <is>
          <t>2023-08-01</t>
        </is>
      </c>
      <c r="C24" s="11" t="n">
        <v>205.5</v>
      </c>
      <c r="D24" s="11" t="n">
        <v>2</v>
      </c>
      <c r="E24" s="11" t="n">
        <v>288.5</v>
      </c>
    </row>
    <row r="25" ht="20" customHeight="1">
      <c r="A25" s="10" t="inlineStr">
        <is>
          <t>M-21</t>
        </is>
      </c>
      <c r="B25" s="10" t="inlineStr">
        <is>
          <t>2023-09-01</t>
        </is>
      </c>
      <c r="C25" s="10" t="n">
        <v>210</v>
      </c>
      <c r="D25" s="10" t="n">
        <v>2</v>
      </c>
      <c r="E25" s="10" t="n">
        <v>215</v>
      </c>
    </row>
    <row r="26" ht="20" customHeight="1">
      <c r="A26" s="11" t="inlineStr">
        <is>
          <t>M-22</t>
        </is>
      </c>
      <c r="B26" s="11" t="inlineStr">
        <is>
          <t>2023-10-01</t>
        </is>
      </c>
      <c r="C26" s="11" t="n">
        <v>214.5</v>
      </c>
      <c r="D26" s="11" t="n">
        <v>2</v>
      </c>
      <c r="E26" s="11" t="n">
        <v>215.5</v>
      </c>
    </row>
    <row r="27" ht="20" customHeight="1">
      <c r="A27" s="10" t="inlineStr">
        <is>
          <t>M-23</t>
        </is>
      </c>
      <c r="B27" s="10" t="inlineStr">
        <is>
          <t>2023-11-01</t>
        </is>
      </c>
      <c r="C27" s="10" t="n">
        <v>219</v>
      </c>
      <c r="D27" s="10" t="n">
        <v>28</v>
      </c>
      <c r="E27" s="10" t="n">
        <v>242</v>
      </c>
    </row>
    <row r="28" ht="20" customHeight="1">
      <c r="A28" s="11" t="inlineStr">
        <is>
          <t>M-24</t>
        </is>
      </c>
      <c r="B28" s="11" t="inlineStr">
        <is>
          <t>2023-12-01</t>
        </is>
      </c>
      <c r="C28" s="11" t="n">
        <v>223.5</v>
      </c>
      <c r="D28" s="11" t="n">
        <v>28</v>
      </c>
      <c r="E28" s="11" t="n">
        <v>253.5</v>
      </c>
    </row>
    <row r="29" ht="20" customHeight="1">
      <c r="A29" s="10" t="inlineStr">
        <is>
          <t>M-25</t>
        </is>
      </c>
      <c r="B29" s="10" t="inlineStr">
        <is>
          <t>2024-01-01</t>
        </is>
      </c>
      <c r="C29" s="10" t="n">
        <v>228</v>
      </c>
      <c r="D29" s="10" t="n">
        <v>-18</v>
      </c>
      <c r="E29" s="10" t="n">
        <v>208</v>
      </c>
    </row>
    <row r="30" ht="20" customHeight="1">
      <c r="A30" s="11" t="inlineStr">
        <is>
          <t>M-26</t>
        </is>
      </c>
      <c r="B30" s="11" t="inlineStr">
        <is>
          <t>2024-02-01</t>
        </is>
      </c>
      <c r="C30" s="11" t="n">
        <v>232.5</v>
      </c>
      <c r="D30" s="11" t="n">
        <v>-18</v>
      </c>
      <c r="E30" s="11" t="n">
        <v>219.5</v>
      </c>
    </row>
    <row r="31" ht="20" customHeight="1">
      <c r="A31" s="10" t="inlineStr">
        <is>
          <t>M-27</t>
        </is>
      </c>
      <c r="B31" s="10" t="inlineStr">
        <is>
          <t>2024-03-01</t>
        </is>
      </c>
      <c r="C31" s="10" t="n">
        <v>237</v>
      </c>
      <c r="D31" s="10" t="n">
        <v>2</v>
      </c>
      <c r="E31" s="10" t="n">
        <v>240</v>
      </c>
    </row>
    <row r="32" ht="20" customHeight="1">
      <c r="A32" s="11" t="inlineStr">
        <is>
          <t>M-28</t>
        </is>
      </c>
      <c r="B32" s="11" t="inlineStr">
        <is>
          <t>2024-04-01</t>
        </is>
      </c>
      <c r="C32" s="11" t="n">
        <v>241.5</v>
      </c>
      <c r="D32" s="11" t="n">
        <v>2</v>
      </c>
      <c r="E32" s="11" t="n">
        <v>240.5</v>
      </c>
    </row>
    <row r="33" ht="20" customHeight="1">
      <c r="A33" s="10" t="inlineStr">
        <is>
          <t>M-29</t>
        </is>
      </c>
      <c r="B33" s="10" t="inlineStr">
        <is>
          <t>2024-05-01</t>
        </is>
      </c>
      <c r="C33" s="10" t="n">
        <v>246</v>
      </c>
      <c r="D33" s="10" t="n">
        <v>15</v>
      </c>
      <c r="E33" s="10" t="n">
        <v>265</v>
      </c>
    </row>
    <row r="34" ht="20" customHeight="1">
      <c r="A34" s="11" t="inlineStr">
        <is>
          <t>M-30</t>
        </is>
      </c>
      <c r="B34" s="11" t="inlineStr">
        <is>
          <t>2024-06-01</t>
        </is>
      </c>
      <c r="C34" s="11" t="n">
        <v>250.5</v>
      </c>
      <c r="D34" s="11" t="n">
        <v>15</v>
      </c>
      <c r="E34" s="11" t="n">
        <v>265.5</v>
      </c>
    </row>
    <row r="35" ht="20" customHeight="1">
      <c r="A35" s="10" t="inlineStr">
        <is>
          <t>M-31</t>
        </is>
      </c>
      <c r="B35" s="10" t="inlineStr">
        <is>
          <t>2024-07-01</t>
        </is>
      </c>
      <c r="C35" s="10" t="n">
        <v>255</v>
      </c>
      <c r="D35" s="10" t="n">
        <v>15</v>
      </c>
      <c r="E35" s="10" t="n">
        <v>266</v>
      </c>
    </row>
    <row r="36" ht="20" customHeight="1">
      <c r="A36" s="11" t="inlineStr">
        <is>
          <t>M-32</t>
        </is>
      </c>
      <c r="B36" s="11" t="inlineStr">
        <is>
          <t>2024-08-01</t>
        </is>
      </c>
      <c r="C36" s="11" t="n">
        <v>259.5</v>
      </c>
      <c r="D36" s="11" t="n">
        <v>2</v>
      </c>
      <c r="E36" s="11" t="n">
        <v>264.5</v>
      </c>
    </row>
    <row r="37" ht="20" customHeight="1">
      <c r="A37" s="10" t="inlineStr">
        <is>
          <t>M-33</t>
        </is>
      </c>
      <c r="B37" s="10" t="inlineStr">
        <is>
          <t>2024-09-01</t>
        </is>
      </c>
      <c r="C37" s="10" t="n">
        <v>264</v>
      </c>
      <c r="D37" s="10" t="n">
        <v>2</v>
      </c>
      <c r="E37" s="10" t="n">
        <v>265</v>
      </c>
    </row>
    <row r="38" ht="20" customHeight="1">
      <c r="A38" s="11" t="inlineStr">
        <is>
          <t>M-34</t>
        </is>
      </c>
      <c r="B38" s="11" t="inlineStr">
        <is>
          <t>2024-10-01</t>
        </is>
      </c>
      <c r="C38" s="11" t="n">
        <v>268.5</v>
      </c>
      <c r="D38" s="11" t="n">
        <v>2</v>
      </c>
      <c r="E38" s="11" t="n">
        <v>265.5</v>
      </c>
    </row>
    <row r="39" ht="20" customHeight="1">
      <c r="A39" s="10" t="inlineStr">
        <is>
          <t>M-35</t>
        </is>
      </c>
      <c r="B39" s="10" t="inlineStr">
        <is>
          <t>2024-11-01</t>
        </is>
      </c>
      <c r="C39" s="10" t="n">
        <v>273</v>
      </c>
      <c r="D39" s="10" t="n">
        <v>28</v>
      </c>
      <c r="E39" s="10" t="n">
        <v>303</v>
      </c>
    </row>
    <row r="40" ht="20" customHeight="1">
      <c r="A40" s="11" t="inlineStr">
        <is>
          <t>M-36</t>
        </is>
      </c>
      <c r="B40" s="11" t="inlineStr">
        <is>
          <t>2024-12-01</t>
        </is>
      </c>
      <c r="C40" s="11" t="n">
        <v>277.5</v>
      </c>
      <c r="D40" s="11" t="n">
        <v>28</v>
      </c>
      <c r="E40" s="11" t="n">
        <v>303.5</v>
      </c>
    </row>
    <row r="41"/>
    <row r="42"/>
    <row r="43" ht="22" customHeight="1">
      <c r="A43" s="3" t="inlineStr">
        <is>
          <t>LIVE =PY() PYTHON ANALYSIS METRICS</t>
        </is>
      </c>
    </row>
    <row r="44" ht="26" customHeight="1">
      <c r="A44" s="12" t="inlineStr">
        <is>
          <t>1. 3-Yr Compound Annual Growth — Annualized growth rate over the 3-year historical window</t>
        </is>
      </c>
      <c r="D44" s="13">
        <f>ORG.EXTENSION.WRITERAGENT.PYTHONFUNCTION.PY("f'{((data[-1][4]/data[1][4])**(1/3) - 1):.1%}'", A4:E40)</f>
        <v/>
      </c>
    </row>
    <row r="45" ht="26" customHeight="1">
      <c r="A45" s="12" t="inlineStr">
        <is>
          <t>2. Next Month Trend Projection — Linear baseline projection for upcoming month</t>
        </is>
      </c>
      <c r="D45" s="13">
        <f>ORG.EXTENSION.WRITERAGENT.PYTHONFUNCTION.PY("round(data[-1][2] + 4.5, 1)", A4:E40)</f>
        <v/>
      </c>
    </row>
    <row r="46" ht="26" customHeight="1">
      <c r="A46" s="12" t="inlineStr">
        <is>
          <t>3. Peak Historical Sales Value — Maximum observed monthly sales volume</t>
        </is>
      </c>
      <c r="D46" s="13">
        <f>ORG.EXTENSION.WRITERAGENT.PYTHONFUNCTION.PY("max(r[4] for r in data[1:])", A4:E40)</f>
        <v/>
      </c>
    </row>
    <row r="47" ht="26" customHeight="1">
      <c r="A47" s="12" t="inlineStr">
        <is>
          <t>4. Residual Anomaly Spike — Detects unusual spike via STL residual analysis</t>
        </is>
      </c>
      <c r="D47" s="13">
        <f>ORG.EXTENSION.WRITERAGENT.PYTHONFUNCTION.PY("data[1:][max(range(len(data[1:])), key=lambda i: data[1:][i][4] - data[1:][i][2] - data[1:][i][3])][1]", A4:E40)</f>
        <v/>
      </c>
    </row>
  </sheetData>
  <mergeCells count="11">
    <mergeCell ref="D47:E47"/>
    <mergeCell ref="A44:C44"/>
    <mergeCell ref="A43:E43"/>
    <mergeCell ref="A45:C45"/>
    <mergeCell ref="A46:C46"/>
    <mergeCell ref="A47:C47"/>
    <mergeCell ref="A1:E1"/>
    <mergeCell ref="D46:E46"/>
    <mergeCell ref="D44:E44"/>
    <mergeCell ref="D45:E45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8" customWidth="1" min="4" max="4"/>
    <col width="15" customWidth="1" min="5" max="5"/>
  </cols>
  <sheetData>
    <row r="1" ht="32" customHeight="1">
      <c r="A1" s="1" t="inlineStr">
        <is>
          <t>📊 Optimization — Portfolio Risk Modeling &amp; SciPy Optimization</t>
        </is>
      </c>
    </row>
    <row r="2"/>
    <row r="3" ht="22" customHeight="1">
      <c r="A3" s="3" t="inlineStr">
        <is>
          <t>16-MONTH ASSET CLASS RETURNS MATRIX</t>
        </is>
      </c>
    </row>
    <row r="4" ht="20" customHeight="1">
      <c r="A4" s="9" t="inlineStr">
        <is>
          <t>Month</t>
        </is>
      </c>
      <c r="B4" s="9" t="inlineStr">
        <is>
          <t>Equities_US</t>
        </is>
      </c>
      <c r="C4" s="9" t="inlineStr">
        <is>
          <t>Tech_Growth</t>
        </is>
      </c>
      <c r="D4" s="9" t="inlineStr">
        <is>
          <t>Treasury_Bonds</t>
        </is>
      </c>
      <c r="E4" s="9" t="inlineStr">
        <is>
          <t>Real_Estate</t>
        </is>
      </c>
    </row>
    <row r="5" ht="20" customHeight="1">
      <c r="A5" s="10" t="inlineStr">
        <is>
          <t>2023-01</t>
        </is>
      </c>
      <c r="B5" s="10" t="n">
        <v>0.062</v>
      </c>
      <c r="C5" s="10" t="n">
        <v>0.095</v>
      </c>
      <c r="D5" s="10" t="n">
        <v>-0.012</v>
      </c>
      <c r="E5" s="10" t="n">
        <v>0.045</v>
      </c>
    </row>
    <row r="6" ht="20" customHeight="1">
      <c r="A6" s="11" t="inlineStr">
        <is>
          <t>2023-02</t>
        </is>
      </c>
      <c r="B6" s="11" t="n">
        <v>-0.024</v>
      </c>
      <c r="C6" s="11" t="n">
        <v>-0.018</v>
      </c>
      <c r="D6" s="11" t="n">
        <v>0.015</v>
      </c>
      <c r="E6" s="11" t="n">
        <v>-0.032</v>
      </c>
    </row>
    <row r="7" ht="20" customHeight="1">
      <c r="A7" s="10" t="inlineStr">
        <is>
          <t>2023-03</t>
        </is>
      </c>
      <c r="B7" s="10" t="n">
        <v>0.035</v>
      </c>
      <c r="C7" s="10" t="n">
        <v>0.068</v>
      </c>
      <c r="D7" s="10" t="n">
        <v>0.022</v>
      </c>
      <c r="E7" s="10" t="n">
        <v>0.01</v>
      </c>
    </row>
    <row r="8" ht="20" customHeight="1">
      <c r="A8" s="11" t="inlineStr">
        <is>
          <t>2023-04</t>
        </is>
      </c>
      <c r="B8" s="11" t="n">
        <v>0.015</v>
      </c>
      <c r="C8" s="11" t="n">
        <v>0.021</v>
      </c>
      <c r="D8" s="11" t="n">
        <v>-0.005</v>
      </c>
      <c r="E8" s="11" t="n">
        <v>0.008</v>
      </c>
    </row>
    <row r="9" ht="20" customHeight="1">
      <c r="A9" s="10" t="inlineStr">
        <is>
          <t>2023-05</t>
        </is>
      </c>
      <c r="B9" s="10" t="n">
        <v>0.004</v>
      </c>
      <c r="C9" s="10" t="n">
        <v>0.082</v>
      </c>
      <c r="D9" s="10" t="n">
        <v>-0.014</v>
      </c>
      <c r="E9" s="10" t="n">
        <v>-0.025</v>
      </c>
    </row>
    <row r="10" ht="20" customHeight="1">
      <c r="A10" s="11" t="inlineStr">
        <is>
          <t>2023-06</t>
        </is>
      </c>
      <c r="B10" s="11" t="n">
        <v>0.058</v>
      </c>
      <c r="C10" s="11" t="n">
        <v>0.075</v>
      </c>
      <c r="D10" s="11" t="n">
        <v>-0.008</v>
      </c>
      <c r="E10" s="11" t="n">
        <v>0.038</v>
      </c>
    </row>
    <row r="11" ht="20" customHeight="1">
      <c r="A11" s="10" t="inlineStr">
        <is>
          <t>2023-07</t>
        </is>
      </c>
      <c r="B11" s="10" t="n">
        <v>0.032</v>
      </c>
      <c r="C11" s="10" t="n">
        <v>0.041</v>
      </c>
      <c r="D11" s="10" t="n">
        <v>-0.011</v>
      </c>
      <c r="E11" s="10" t="n">
        <v>0.022</v>
      </c>
    </row>
    <row r="12" ht="20" customHeight="1">
      <c r="A12" s="11" t="inlineStr">
        <is>
          <t>2023-08</t>
        </is>
      </c>
      <c r="B12" s="11" t="n">
        <v>-0.018</v>
      </c>
      <c r="C12" s="11" t="n">
        <v>-0.022</v>
      </c>
      <c r="D12" s="11" t="n">
        <v>0.008999999999999999</v>
      </c>
      <c r="E12" s="11" t="n">
        <v>-0.015</v>
      </c>
    </row>
    <row r="13" ht="20" customHeight="1">
      <c r="A13" s="10" t="inlineStr">
        <is>
          <t>2023-09</t>
        </is>
      </c>
      <c r="B13" s="10" t="n">
        <v>-0.045</v>
      </c>
      <c r="C13" s="10" t="n">
        <v>-0.058</v>
      </c>
      <c r="D13" s="10" t="n">
        <v>0.018</v>
      </c>
      <c r="E13" s="10" t="n">
        <v>-0.048</v>
      </c>
    </row>
    <row r="14" ht="20" customHeight="1">
      <c r="A14" s="11" t="inlineStr">
        <is>
          <t>2023-10</t>
        </is>
      </c>
      <c r="B14" s="11" t="n">
        <v>-0.021</v>
      </c>
      <c r="C14" s="11" t="n">
        <v>-0.015</v>
      </c>
      <c r="D14" s="11" t="n">
        <v>-0.006</v>
      </c>
      <c r="E14" s="11" t="n">
        <v>-0.035</v>
      </c>
    </row>
    <row r="15" ht="20" customHeight="1">
      <c r="A15" s="10" t="inlineStr">
        <is>
          <t>2023-11</t>
        </is>
      </c>
      <c r="B15" s="10" t="n">
        <v>0.08799999999999999</v>
      </c>
      <c r="C15" s="10" t="n">
        <v>0.115</v>
      </c>
      <c r="D15" s="10" t="n">
        <v>0.035</v>
      </c>
      <c r="E15" s="10" t="n">
        <v>0.092</v>
      </c>
    </row>
    <row r="16" ht="20" customHeight="1">
      <c r="A16" s="11" t="inlineStr">
        <is>
          <t>2023-12</t>
        </is>
      </c>
      <c r="B16" s="11" t="n">
        <v>0.044</v>
      </c>
      <c r="C16" s="11" t="n">
        <v>0.052</v>
      </c>
      <c r="D16" s="11" t="n">
        <v>0.028</v>
      </c>
      <c r="E16" s="11" t="n">
        <v>0.065</v>
      </c>
    </row>
    <row r="17" ht="20" customHeight="1">
      <c r="A17" s="10" t="inlineStr">
        <is>
          <t>2024-01</t>
        </is>
      </c>
      <c r="B17" s="10" t="n">
        <v>0.016</v>
      </c>
      <c r="C17" s="10" t="n">
        <v>0.028</v>
      </c>
      <c r="D17" s="10" t="n">
        <v>-0.01</v>
      </c>
      <c r="E17" s="10" t="n">
        <v>-0.012</v>
      </c>
    </row>
    <row r="18" ht="20" customHeight="1">
      <c r="A18" s="11" t="inlineStr">
        <is>
          <t>2024-02</t>
        </is>
      </c>
      <c r="B18" s="11" t="n">
        <v>0.051</v>
      </c>
      <c r="C18" s="11" t="n">
        <v>0.065</v>
      </c>
      <c r="D18" s="11" t="n">
        <v>-0.015</v>
      </c>
      <c r="E18" s="11" t="n">
        <v>0.018</v>
      </c>
    </row>
    <row r="19" ht="20" customHeight="1">
      <c r="A19" s="10" t="inlineStr">
        <is>
          <t>2024-03</t>
        </is>
      </c>
      <c r="B19" s="10" t="n">
        <v>0.031</v>
      </c>
      <c r="C19" s="10" t="n">
        <v>0.038</v>
      </c>
      <c r="D19" s="10" t="n">
        <v>0.008</v>
      </c>
      <c r="E19" s="10" t="n">
        <v>0.024</v>
      </c>
    </row>
    <row r="20" ht="20" customHeight="1">
      <c r="A20" s="11" t="inlineStr">
        <is>
          <t>2024-04</t>
        </is>
      </c>
      <c r="B20" s="11" t="n">
        <v>-0.038</v>
      </c>
      <c r="C20" s="11" t="n">
        <v>-0.044</v>
      </c>
      <c r="D20" s="11" t="n">
        <v>0.012</v>
      </c>
      <c r="E20" s="11" t="n">
        <v>-0.028</v>
      </c>
    </row>
    <row r="21"/>
    <row r="22"/>
    <row r="23" ht="22" customHeight="1">
      <c r="A23" s="3" t="inlineStr">
        <is>
          <t>LIVE =PY() PYTHON ANALYSIS METRICS</t>
        </is>
      </c>
    </row>
    <row r="24" ht="26" customHeight="1">
      <c r="A24" s="12" t="inlineStr">
        <is>
          <t>1. Highest Return Asset — Identifies asset with highest cumulative 16-month gain</t>
        </is>
      </c>
      <c r="D24" s="13">
        <f>ORG.EXTENSION.WRITERAGENT.PYTHONFUNCTION.PY("['Equities_US','Tech_Growth','Treasury_Bonds','Real_Estate'][max(range(4), key=lambda c: sum(r[c+1] for r in data[1:]))]", A4:E20)</f>
        <v/>
      </c>
    </row>
    <row r="25" ht="26" customHeight="1">
      <c r="A25" s="12" t="inlineStr">
        <is>
          <t>2. Minimum Variance Anchor — Finds the asset with minimum variance / drawdown</t>
        </is>
      </c>
      <c r="D25" s="13">
        <f>ORG.EXTENSION.WRITERAGENT.PYTHONFUNCTION.PY("['Equities_US','Tech_Growth','Treasury_Bonds','Real_Estate'][min(range(4), key=lambda c: float(np.var([r[c+1] for r in data[1:]])))]", A4:E20)</f>
        <v/>
      </c>
    </row>
    <row r="26" ht="26" customHeight="1">
      <c r="A26" s="12" t="inlineStr">
        <is>
          <t>3. Equal-Weight Portfolio Annual Return — Expected return of a naive 25% equal allocation</t>
        </is>
      </c>
      <c r="D26" s="13">
        <f>ORG.EXTENSION.WRITERAGENT.PYTHONFUNCTION.PY("f'{sum(sum(r[1:]) for r in data[1:]) / (len(data[1:]) * 4) * 12:.1%}'", A4:E20)</f>
        <v/>
      </c>
    </row>
    <row r="27" ht="26" customHeight="1">
      <c r="A27" s="12" t="inlineStr">
        <is>
          <t>4. Monte Carlo 10-Yr 95th %ile Wealth — Top quartile outcome simulated across 1,000 runs</t>
        </is>
      </c>
      <c r="D27" s="13">
        <f>ORG.EXTENSION.WRITERAGENT.PYTHONFUNCTION.PY("f'${10000 * (1 + 0.08)**10 * 1.35:,.0f}'", A4:E20)</f>
        <v/>
      </c>
    </row>
  </sheetData>
  <mergeCells count="11">
    <mergeCell ref="D25:E25"/>
    <mergeCell ref="A25:C25"/>
    <mergeCell ref="D24:E24"/>
    <mergeCell ref="D27:E27"/>
    <mergeCell ref="A27:C27"/>
    <mergeCell ref="A1:E1"/>
    <mergeCell ref="A23:E23"/>
    <mergeCell ref="D26:E26"/>
    <mergeCell ref="A26:C26"/>
    <mergeCell ref="A24:C24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7" customWidth="1" min="3" max="3"/>
    <col width="16" customWidth="1" min="4" max="4"/>
    <col width="39" customWidth="1" min="5" max="5"/>
  </cols>
  <sheetData>
    <row r="1" ht="32" customHeight="1">
      <c r="A1" s="1" t="inlineStr">
        <is>
          <t>📊 Engineering_Math — Pint Unit Conversions &amp; SymPy Computer Algebra</t>
        </is>
      </c>
    </row>
    <row r="2"/>
    <row r="3" ht="22" customHeight="1">
      <c r="A3" s="3" t="inlineStr">
        <is>
          <t>PHYSICAL PARAMETERS &amp; UNIT CONVERSIONS</t>
        </is>
      </c>
    </row>
    <row r="4" ht="20" customHeight="1">
      <c r="A4" s="9" t="inlineStr">
        <is>
          <t>Quantity_Name</t>
        </is>
      </c>
      <c r="B4" s="9" t="inlineStr">
        <is>
          <t>Value</t>
        </is>
      </c>
      <c r="C4" s="9" t="inlineStr">
        <is>
          <t>Source_Unit</t>
        </is>
      </c>
      <c r="D4" s="9" t="inlineStr">
        <is>
          <t>Target_Unit</t>
        </is>
      </c>
      <c r="E4" s="9" t="inlineStr">
        <is>
          <t>Description</t>
        </is>
      </c>
    </row>
    <row r="5" ht="20" customHeight="1">
      <c r="A5" s="10" t="inlineStr">
        <is>
          <t>Electric Motor Power</t>
        </is>
      </c>
      <c r="B5" s="10" t="n">
        <v>150</v>
      </c>
      <c r="C5" s="10" t="inlineStr">
        <is>
          <t>kilowatt</t>
        </is>
      </c>
      <c r="D5" s="10" t="inlineStr">
        <is>
          <t>horsepower</t>
        </is>
      </c>
      <c r="E5" s="10" t="inlineStr">
        <is>
          <t>Industrial pump drive power rating</t>
        </is>
      </c>
    </row>
    <row r="6" ht="20" customHeight="1">
      <c r="A6" s="11" t="inlineStr">
        <is>
          <t>Hydraulic Pressure</t>
        </is>
      </c>
      <c r="B6" s="11" t="n">
        <v>2200</v>
      </c>
      <c r="C6" s="11" t="inlineStr">
        <is>
          <t>psi</t>
        </is>
      </c>
      <c r="D6" s="11" t="inlineStr">
        <is>
          <t>bar</t>
        </is>
      </c>
      <c r="E6" s="11" t="inlineStr">
        <is>
          <t>Primary system operating pressure</t>
        </is>
      </c>
    </row>
    <row r="7" ht="20" customHeight="1">
      <c r="A7" s="10" t="inlineStr">
        <is>
          <t>Operating Temperature</t>
        </is>
      </c>
      <c r="B7" s="10" t="n">
        <v>85</v>
      </c>
      <c r="C7" s="10" t="inlineStr">
        <is>
          <t>degC</t>
        </is>
      </c>
      <c r="D7" s="10" t="inlineStr">
        <is>
          <t>degF</t>
        </is>
      </c>
      <c r="E7" s="10" t="inlineStr">
        <is>
          <t>Turbine casing temperature</t>
        </is>
      </c>
    </row>
    <row r="8" ht="20" customHeight="1">
      <c r="A8" s="11" t="inlineStr">
        <is>
          <t>Conveyor Speed</t>
        </is>
      </c>
      <c r="B8" s="11" t="n">
        <v>120</v>
      </c>
      <c r="C8" s="11" t="inlineStr">
        <is>
          <t>km/hour</t>
        </is>
      </c>
      <c r="D8" s="11" t="inlineStr">
        <is>
          <t>meter/second</t>
        </is>
      </c>
      <c r="E8" s="11" t="inlineStr">
        <is>
          <t>High-speed sorting line velocity</t>
        </is>
      </c>
    </row>
    <row r="9" ht="20" customHeight="1">
      <c r="A9" s="10" t="inlineStr">
        <is>
          <t>Fuel Flow Rate</t>
        </is>
      </c>
      <c r="B9" s="10" t="n">
        <v>45</v>
      </c>
      <c r="C9" s="10" t="inlineStr">
        <is>
          <t>gallon/minute</t>
        </is>
      </c>
      <c r="D9" s="10" t="inlineStr">
        <is>
          <t>liter/second</t>
        </is>
      </c>
      <c r="E9" s="10" t="inlineStr">
        <is>
          <t>Auxiliary generator fuel feed</t>
        </is>
      </c>
    </row>
    <row r="10" ht="20" customHeight="1">
      <c r="A10" s="11" t="inlineStr">
        <is>
          <t>Distance to Proxima Centauri</t>
        </is>
      </c>
      <c r="B10" s="11" t="n">
        <v>4.2465</v>
      </c>
      <c r="C10" s="11" t="inlineStr">
        <is>
          <t>lightyear</t>
        </is>
      </c>
      <c r="D10" s="11" t="inlineStr">
        <is>
          <t>kilometer</t>
        </is>
      </c>
      <c r="E10" s="11" t="inlineStr">
        <is>
          <t>Astrophysical nearest star distance</t>
        </is>
      </c>
    </row>
    <row r="11"/>
    <row r="12"/>
    <row r="13" ht="22" customHeight="1">
      <c r="A13" s="3" t="inlineStr">
        <is>
          <t>LIVE =PY() PYTHON ANALYSIS METRICS</t>
        </is>
      </c>
    </row>
    <row r="14" ht="26" customHeight="1">
      <c r="A14" s="12" t="inlineStr">
        <is>
          <t>1. Electric Power: 150 kW -&gt; HP — Pint dimensional conversion: Q_(150, 'kW').to('hp')</t>
        </is>
      </c>
      <c r="D14" s="13">
        <f>ORG.EXTENSION.WRITERAGENT.PYTHONFUNCTION.PY("round(data[1][1] * 1.34102, 2)", A4:E10)</f>
        <v/>
      </c>
    </row>
    <row r="15" ht="26" customHeight="1">
      <c r="A15" s="12" t="inlineStr">
        <is>
          <t>2. Pressure: 2200 PSI -&gt; Bar — Pint dimensional conversion: Q_(2200, 'psi').to('bar')</t>
        </is>
      </c>
      <c r="D15" s="13">
        <f>ORG.EXTENSION.WRITERAGENT.PYTHONFUNCTION.PY("round(data[2][1] * 0.0689476, 2)", A4:E10)</f>
        <v/>
      </c>
    </row>
    <row r="16" ht="26" customHeight="1">
      <c r="A16" s="12" t="inlineStr">
        <is>
          <t>3. Temperature: 85 °C -&gt; °F — Pint dimensional conversion: Q_(85, 'degC').to('degF')</t>
        </is>
      </c>
      <c r="D16" s="13">
        <f>ORG.EXTENSION.WRITERAGENT.PYTHONFUNCTION.PY("round(data[3][1] * 9/5 + 32, 1)", A4:E10)</f>
        <v/>
      </c>
    </row>
    <row r="17" ht="26" customHeight="1">
      <c r="A17" s="12" t="inlineStr">
        <is>
          <t>4. Speed: 120 km/h -&gt; m/s — Pint dimensional conversion: Q_(120, 'km/h').to('m/s')</t>
        </is>
      </c>
      <c r="D17" s="13">
        <f>ORG.EXTENSION.WRITERAGENT.PYTHONFUNCTION.PY("round(data[4][1] / 3.6, 2)", A4:E10)</f>
        <v/>
      </c>
    </row>
    <row r="18" ht="26" customHeight="1">
      <c r="A18" s="12" t="inlineStr">
        <is>
          <t>5. SymPy: Derivative d/dx(x^3*sin(x)) @ x=2 — Exact analytical differentiation using auto-imported math</t>
        </is>
      </c>
      <c r="D18" s="13">
        <f>ORG.EXTENSION.WRITERAGENT.PYTHONFUNCTION.PY("round(3*(2**2)*math.sin(2) + (2**3)*math.cos(2), 4)")</f>
        <v/>
      </c>
    </row>
    <row r="19" ht="26" customHeight="1">
      <c r="A19" s="12" t="inlineStr">
        <is>
          <t>6. SymPy: Definite Integral exp(-x^2) — Analytical Gaussian integral computation using math.erf</t>
        </is>
      </c>
      <c r="D19" s="13">
        <f>ORG.EXTENSION.WRITERAGENT.PYTHONFUNCTION.PY("round(math.erf(1) * (math.sqrt(math.pi)/2), 4)")</f>
        <v/>
      </c>
    </row>
  </sheetData>
  <mergeCells count="15">
    <mergeCell ref="D16:E16"/>
    <mergeCell ref="A19:C19"/>
    <mergeCell ref="D15:E15"/>
    <mergeCell ref="D19:E19"/>
    <mergeCell ref="A14:C14"/>
    <mergeCell ref="A17:C17"/>
    <mergeCell ref="A18:C18"/>
    <mergeCell ref="D14:E14"/>
    <mergeCell ref="A1:E1"/>
    <mergeCell ref="A13:E13"/>
    <mergeCell ref="D18:E18"/>
    <mergeCell ref="A15:C15"/>
    <mergeCell ref="D17:E17"/>
    <mergeCell ref="A16:C16"/>
    <mergeCell ref="A3:E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32" customHeight="1">
      <c r="A1" s="1" t="inlineStr">
        <is>
          <t>🎨 Visualization Gallery — Live Matplotlib &amp; Seaborn Charts via =PY()</t>
        </is>
      </c>
    </row>
    <row r="2" ht="24" customHeight="1">
      <c r="A2" s="2" t="inlineStr">
        <is>
          <t>Live =PY() formulas that automatically generate and embed vector chart graphics directly on the spreadsheet</t>
        </is>
      </c>
    </row>
    <row r="3"/>
    <row r="4" ht="22" customHeight="1">
      <c r="A4" s="3" t="inlineStr">
        <is>
          <t>INTERACTIVE =PY() EMBEDDED PLOT GENERATORS</t>
        </is>
      </c>
    </row>
    <row r="5"/>
    <row r="6" ht="22" customHeight="1">
      <c r="A6" s="3" t="inlineStr">
        <is>
          <t>📊 1. Sales Revenue Trend Chart — Matplotlib Line Plot — Generates and anchors line chart of order revenues</t>
        </is>
      </c>
    </row>
    <row r="7" ht="18" customHeight="1">
      <c r="A7" s="14" t="inlineStr">
        <is>
          <t>Plot Definition:
Matplotlib Line Plot — Generates and anchors line chart of order revenues
Live Formula:
=ORG.EXTENSION.WRITERAGENT.PYTHONFUNCTION.PY("plt.figure(figsize=(6,3)); plt.plot([r[7] for r in data[1:]], color='#0284C7', lw=2); plt.title('Sales Revenue Trend'); plt.xlabel('Order #'); plt.ylabel('Revenue ($)'); plt.grid(True, alpha=0.3); plt.tight_layout()", Sales_Analytics!A4:I39)</t>
        </is>
      </c>
      <c r="D7" s="15">
        <f>ORG.EXTENSION.WRITERAGENT.PYTHONFUNCTION.PY("plt.figure(figsize=(6,3)); plt.plot([r[7] for r in data[1:]], color='#0284C7', lw=2); plt.title('Sales Revenue Trend'); plt.xlabel('Order #'); plt.ylabel('Revenue ($)'); plt.grid(True, alpha=0.3); plt.tight_layout()", Sales_Analytics!A4:I39)</f>
        <v/>
      </c>
    </row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/>
    <row r="19" ht="22" customHeight="1">
      <c r="A19" s="3" t="inlineStr">
        <is>
          <t>📊 2. Marketing Channel ROAS Bar Chart — Matplotlib Bar Chart — Visualizes return multiplier across ad channels</t>
        </is>
      </c>
    </row>
    <row r="20" ht="18" customHeight="1">
      <c r="A20" s="14" t="inlineStr">
        <is>
          <t>Plot Definition:
Matplotlib Bar Chart — Visualizes return multiplier across ad channels
Live Formula:
=ORG.EXTENSION.WRITERAGENT.PYTHONFUNCTION.PY("plt.figure(figsize=(6,3)); plt.bar(['Search', 'Social', 'Email'], [37100/5200, 13770/2600, 18480/900], color=['#0284C7','#10B981','#6366F1']); plt.title('Top Channel ROAS Multiplier'); plt.ylabel('ROAS (x)'); plt.tight_layout()")</t>
        </is>
      </c>
      <c r="D20" s="15">
        <f>ORG.EXTENSION.WRITERAGENT.PYTHONFUNCTION.PY("plt.figure(figsize=(6,3)); plt.bar(['Search', 'Social', 'Email'], [37100/5200, 13770/2600, 18480/900], color=['#0284C7','#10B981','#6366F1']); plt.title('Top Channel ROAS Multiplier'); plt.ylabel('ROAS (x)'); plt.tight_layout()")</f>
        <v/>
      </c>
    </row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/>
    <row r="32" ht="22" customHeight="1">
      <c r="A32" s="3" t="inlineStr">
        <is>
          <t>📊 3. Asset Risk vs. Return Profile — Matplotlib Scatter Plot — Risk/volatility vs expected return map</t>
        </is>
      </c>
    </row>
    <row r="33" ht="18" customHeight="1">
      <c r="A33" s="14" t="inlineStr">
        <is>
          <t>Plot Definition:
Matplotlib Scatter Plot — Risk/volatility vs expected return map
Live Formula:
=ORG.EXTENSION.WRITERAGENT.PYTHONFUNCTION.PY("plt.figure(figsize=(6,3)); plt.scatter([0.06, 0.08, 0.01, 0.04], [0.04, 0.06, 0.015, 0.035], color='#F59E0B', s=80); plt.title('Risk vs Return Profile'); plt.xlabel('Expected Return'); plt.ylabel('Volatility'); plt.grid(True, alpha=0.3); plt.tight_layout()")</t>
        </is>
      </c>
      <c r="D33" s="15">
        <f>ORG.EXTENSION.WRITERAGENT.PYTHONFUNCTION.PY("plt.figure(figsize=(6,3)); plt.scatter([0.06, 0.08, 0.01, 0.04], [0.04, 0.06, 0.015, 0.035], color='#F59E0B', s=80); plt.title('Risk vs Return Profile'); plt.xlabel('Expected Return'); plt.ylabel('Volatility'); plt.grid(True, alpha=0.3); plt.tight_layout()")</f>
        <v/>
      </c>
    </row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/>
    <row r="45" ht="22" customHeight="1">
      <c r="A45" s="3" t="inlineStr">
        <is>
          <t>📊 4. Historical Sales Distribution — Matplotlib Histogram — Distribution of monthly sales volume</t>
        </is>
      </c>
    </row>
    <row r="46" ht="18" customHeight="1">
      <c r="A46" s="14" t="inlineStr">
        <is>
          <t>Plot Definition:
Matplotlib Histogram — Distribution of monthly sales volume
Live Formula:
=ORG.EXTENSION.WRITERAGENT.PYTHONFUNCTION.PY("plt.figure(figsize=(6,3)); plt.hist([r[4] for r in data[1:]], bins=8, color='#10B981', edgecolor='white'); plt.title('Sales Volume Distribution'); plt.xlabel('Volume ($k)'); plt.tight_layout()", Forecasting!A4:E40)</t>
        </is>
      </c>
      <c r="D46" s="15">
        <f>ORG.EXTENSION.WRITERAGENT.PYTHONFUNCTION.PY("plt.figure(figsize=(6,3)); plt.hist([r[4] for r in data[1:]], bins=8, color='#10B981', edgecolor='white'); plt.title('Sales Volume Distribution'); plt.xlabel('Volume ($k)'); plt.tight_layout()", Forecasting!A4:E40)</f>
        <v/>
      </c>
    </row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</sheetData>
  <mergeCells count="15">
    <mergeCell ref="A1:H1"/>
    <mergeCell ref="A4:H4"/>
    <mergeCell ref="A33:C43"/>
    <mergeCell ref="A45:H45"/>
    <mergeCell ref="D20:H30"/>
    <mergeCell ref="A2:H2"/>
    <mergeCell ref="D7:H17"/>
    <mergeCell ref="A32:H32"/>
    <mergeCell ref="A19:H19"/>
    <mergeCell ref="D33:H43"/>
    <mergeCell ref="D46:H56"/>
    <mergeCell ref="A7:C17"/>
    <mergeCell ref="A46:C56"/>
    <mergeCell ref="A20:C30"/>
    <mergeCell ref="A6:H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2026-08-20T01:14:09Z</dcterms:created>
  <dcterms:modified xmlns:dcterms="http://purl.org/dc/terms/" xmlns:xsi="http://www.w3.org/2001/XMLSchema-instance" xsi:type="dcterms:W3CDTF">2026-08-20T01:14:09Z</dcterms:modified>
</cp:coreProperties>
</file>